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G:\APF\"/>
    </mc:Choice>
  </mc:AlternateContent>
  <xr:revisionPtr revIDLastSave="0" documentId="8_{A82AB534-E8AE-4627-8342-8D0B10A4823C}" xr6:coauthVersionLast="36" xr6:coauthVersionMax="36" xr10:uidLastSave="{00000000-0000-0000-0000-000000000000}"/>
  <bookViews>
    <workbookView xWindow="0" yWindow="0" windowWidth="28800" windowHeight="12225" tabRatio="721" activeTab="3" xr2:uid="{00000000-000D-0000-FFFF-FFFF00000000}"/>
  </bookViews>
  <sheets>
    <sheet name="Basic Instructions" sheetId="35" r:id="rId1"/>
    <sheet name="Application Information" sheetId="33" r:id="rId2"/>
    <sheet name="SNAP Counting Sheet" sheetId="29" r:id="rId3"/>
    <sheet name="Recap" sheetId="27" r:id="rId4"/>
    <sheet name="Parameters" sheetId="5" r:id="rId5"/>
  </sheets>
  <functionGroups builtInGroupCount="19"/>
  <definedNames>
    <definedName name="Architecture">Parameters!$I$11:$I$16</definedName>
    <definedName name="Comments">'SNAP Counting Sheet'!$A$53:$BL$53</definedName>
    <definedName name="Counter">Parameters!$B$36:$B$40</definedName>
    <definedName name="D_Formatting">Parameters!$K$32:$K$34</definedName>
    <definedName name="Data_Replication">Parameters!$K$4:$K$7</definedName>
    <definedName name="DATABASE_TECH">Parameters!$M$20:$M$24</definedName>
    <definedName name="DAYSPERMONTH">#REF!</definedName>
    <definedName name="DAYSPERWEEK">#REF!</definedName>
    <definedName name="DETs_2.3">Parameters!$G$60:$G$62</definedName>
    <definedName name="DETs_2.4">Parameters!$I$60:$I$62</definedName>
    <definedName name="DETs_3.2">Parameters!$K$60:$K$62</definedName>
    <definedName name="DETs_4.2">Parameters!$G$65:$G$67</definedName>
    <definedName name="Effort">Parameters!$B$4:$B$7</definedName>
    <definedName name="Effort_Recording">Parameters!$K$12:$K$16</definedName>
    <definedName name="Effort_type">Parameters!$E$4:$E$7</definedName>
    <definedName name="FTR_1.4">Parameters!$C$60:$C$62</definedName>
    <definedName name="FTR_Validation">Parameters!$B$60:$B$62</definedName>
    <definedName name="FTRs_3.3">Parameters!$E$65:$E$67</definedName>
    <definedName name="Help_Type">Parameters!$G$4:$G$7</definedName>
    <definedName name="HRSPERDAY">#REF!</definedName>
    <definedName name="HRSPERWEEK">#REF!</definedName>
    <definedName name="Industry">Parameters!$E$12:$E$50</definedName>
    <definedName name="Math_log">Parameters!$K$29:$K$30</definedName>
    <definedName name="Nesting">Parameters!$B$55:$B$57</definedName>
    <definedName name="Platforms">Parameters!$I$4:$I$5</definedName>
    <definedName name="Primary_Technology">Parameters!$B$43:$B$52</definedName>
    <definedName name="Project_Type">Parameters!$B$12:$B$16</definedName>
    <definedName name="Properties_2.1">Parameters!$E$60:$E$62</definedName>
    <definedName name="Quality">Parameters!$B$21:$B$24</definedName>
    <definedName name="Records_1.5">Parameters!$E$55:$E$57</definedName>
    <definedName name="RETs_3.2">Parameters!$B$65:$B$67</definedName>
    <definedName name="SNAP_DETAILS">'SNAP Counting Sheet'!$A$8:$BK$47</definedName>
    <definedName name="Software">Parameters!$G$19:$G$28</definedName>
    <definedName name="Stage">Parameters!$B$28:$B$33</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O9" i="29" l="1"/>
  <c r="BN9" i="29"/>
  <c r="AR9" i="29" s="1"/>
  <c r="BG9" i="29"/>
  <c r="BJ9" i="29" s="1"/>
  <c r="BE9" i="29"/>
  <c r="BA9" i="29"/>
  <c r="AY9" i="29"/>
  <c r="AU9" i="29"/>
  <c r="AW9" i="29" s="1"/>
  <c r="AK9" i="29"/>
  <c r="AM9" i="29" s="1"/>
  <c r="AG9" i="29"/>
  <c r="AI9" i="29" s="1"/>
  <c r="AE9" i="29"/>
  <c r="Z9" i="29"/>
  <c r="AB9" i="29" s="1"/>
  <c r="W9" i="29"/>
  <c r="U9" i="29"/>
  <c r="Q9" i="29"/>
  <c r="S9" i="29" s="1"/>
  <c r="O9" i="29"/>
  <c r="K9" i="29"/>
  <c r="L9" i="29" s="1"/>
  <c r="E9" i="29"/>
  <c r="G9" i="29" s="1"/>
  <c r="A9" i="29"/>
  <c r="AE8" i="29"/>
  <c r="C5" i="5"/>
  <c r="C6" i="5" s="1"/>
  <c r="BO18" i="29"/>
  <c r="BN18" i="29"/>
  <c r="BJ18" i="29"/>
  <c r="BG18" i="29"/>
  <c r="BE18" i="29"/>
  <c r="BA18" i="29"/>
  <c r="AY18" i="29"/>
  <c r="AW18" i="29"/>
  <c r="AU18" i="29"/>
  <c r="AR18" i="29"/>
  <c r="AK18" i="29"/>
  <c r="AM18" i="29" s="1"/>
  <c r="AG18" i="29"/>
  <c r="AI18" i="29" s="1"/>
  <c r="AE18" i="29"/>
  <c r="AB18" i="29"/>
  <c r="Z18" i="29"/>
  <c r="W18" i="29"/>
  <c r="U18" i="29"/>
  <c r="S18" i="29"/>
  <c r="Q18" i="29"/>
  <c r="O18" i="29"/>
  <c r="K18" i="29"/>
  <c r="L18" i="29" s="1"/>
  <c r="E18" i="29"/>
  <c r="G18" i="29" s="1"/>
  <c r="A18" i="29"/>
  <c r="BO17" i="29"/>
  <c r="BN17" i="29"/>
  <c r="BJ17" i="29"/>
  <c r="BG17" i="29"/>
  <c r="BE17" i="29"/>
  <c r="BA17" i="29"/>
  <c r="AY17" i="29"/>
  <c r="AU17" i="29"/>
  <c r="AW17" i="29" s="1"/>
  <c r="AR17" i="29"/>
  <c r="AK17" i="29"/>
  <c r="AM17" i="29" s="1"/>
  <c r="AG17" i="29"/>
  <c r="AI17" i="29" s="1"/>
  <c r="AE17" i="29"/>
  <c r="Z17" i="29"/>
  <c r="AB17" i="29" s="1"/>
  <c r="W17" i="29"/>
  <c r="U17" i="29"/>
  <c r="S17" i="29"/>
  <c r="Q17" i="29"/>
  <c r="O17" i="29"/>
  <c r="K17" i="29"/>
  <c r="L17" i="29" s="1"/>
  <c r="E17" i="29"/>
  <c r="G17" i="29" s="1"/>
  <c r="A17" i="29"/>
  <c r="BO46" i="29"/>
  <c r="BN46" i="29"/>
  <c r="AR46" i="29" s="1"/>
  <c r="BJ46" i="29"/>
  <c r="BG46" i="29"/>
  <c r="BE46" i="29"/>
  <c r="BA46" i="29"/>
  <c r="AY46" i="29"/>
  <c r="AU46" i="29"/>
  <c r="AW46" i="29" s="1"/>
  <c r="AK46" i="29"/>
  <c r="AM46" i="29" s="1"/>
  <c r="AG46" i="29"/>
  <c r="AI46" i="29" s="1"/>
  <c r="AE46" i="29"/>
  <c r="Z46" i="29"/>
  <c r="AB46" i="29" s="1"/>
  <c r="W46" i="29"/>
  <c r="U46" i="29"/>
  <c r="S46" i="29"/>
  <c r="Q46" i="29"/>
  <c r="O46" i="29"/>
  <c r="K46" i="29"/>
  <c r="L46" i="29" s="1"/>
  <c r="E46" i="29"/>
  <c r="G46" i="29" s="1"/>
  <c r="A46" i="29"/>
  <c r="BO45" i="29"/>
  <c r="BN45" i="29"/>
  <c r="AR45" i="29" s="1"/>
  <c r="BJ45" i="29"/>
  <c r="BG45" i="29"/>
  <c r="BE45" i="29"/>
  <c r="BA45" i="29"/>
  <c r="AY45" i="29"/>
  <c r="AU45" i="29"/>
  <c r="AW45" i="29" s="1"/>
  <c r="AK45" i="29"/>
  <c r="AM45" i="29" s="1"/>
  <c r="AG45" i="29"/>
  <c r="AI45" i="29" s="1"/>
  <c r="AE45" i="29"/>
  <c r="Z45" i="29"/>
  <c r="AB45" i="29" s="1"/>
  <c r="W45" i="29"/>
  <c r="U45" i="29"/>
  <c r="S45" i="29"/>
  <c r="Q45" i="29"/>
  <c r="O45" i="29"/>
  <c r="K45" i="29"/>
  <c r="L45" i="29" s="1"/>
  <c r="E45" i="29"/>
  <c r="G45" i="29" s="1"/>
  <c r="A45" i="29"/>
  <c r="AE11" i="29"/>
  <c r="AE12" i="29"/>
  <c r="AE13" i="29"/>
  <c r="AE14" i="29"/>
  <c r="AE15" i="29"/>
  <c r="AE16" i="29"/>
  <c r="AE19" i="29"/>
  <c r="AE20" i="29"/>
  <c r="AE21" i="29"/>
  <c r="AE22" i="29"/>
  <c r="AE23" i="29"/>
  <c r="AE24" i="29"/>
  <c r="AE25" i="29"/>
  <c r="AE26" i="29"/>
  <c r="AE27" i="29"/>
  <c r="AE28" i="29"/>
  <c r="AE29" i="29"/>
  <c r="AE30" i="29"/>
  <c r="AE31" i="29"/>
  <c r="AE32" i="29"/>
  <c r="AE33" i="29"/>
  <c r="AE34" i="29"/>
  <c r="AE35" i="29"/>
  <c r="AE36" i="29"/>
  <c r="AE37" i="29"/>
  <c r="AE38" i="29"/>
  <c r="AE39" i="29"/>
  <c r="AE40" i="29"/>
  <c r="AE41" i="29"/>
  <c r="AE42" i="29"/>
  <c r="AE43" i="29"/>
  <c r="AE44" i="29"/>
  <c r="AE47" i="29"/>
  <c r="AE10" i="29"/>
  <c r="G52" i="29"/>
  <c r="F6" i="27" s="1"/>
  <c r="L52" i="29"/>
  <c r="F7" i="27" s="1"/>
  <c r="O52" i="29"/>
  <c r="F8" i="27" s="1"/>
  <c r="S52" i="29"/>
  <c r="F9" i="27" s="1"/>
  <c r="W52" i="29"/>
  <c r="F10" i="27" s="1"/>
  <c r="AB52" i="29"/>
  <c r="F13" i="27" s="1"/>
  <c r="AE52" i="29"/>
  <c r="F14" i="27" s="1"/>
  <c r="AI52" i="29"/>
  <c r="F15" i="27" s="1"/>
  <c r="AM52" i="29"/>
  <c r="F16" i="27" s="1"/>
  <c r="BJ52" i="29"/>
  <c r="F25" i="27" s="1"/>
  <c r="BE52" i="29"/>
  <c r="F24" i="27" s="1"/>
  <c r="BA52" i="29"/>
  <c r="F21" i="27" s="1"/>
  <c r="AW52" i="29"/>
  <c r="F20" i="27" s="1"/>
  <c r="AR52" i="29"/>
  <c r="F19" i="27" s="1"/>
  <c r="BO12" i="29"/>
  <c r="BN12" i="29"/>
  <c r="AR12" i="29"/>
  <c r="BJ12" i="29"/>
  <c r="BG12" i="29"/>
  <c r="BE12" i="29"/>
  <c r="BA12" i="29"/>
  <c r="AY12" i="29"/>
  <c r="AU12" i="29"/>
  <c r="AW12" i="29" s="1"/>
  <c r="AK12" i="29"/>
  <c r="AM12" i="29" s="1"/>
  <c r="AG12" i="29"/>
  <c r="AI12" i="29" s="1"/>
  <c r="Z12" i="29"/>
  <c r="AB12" i="29" s="1"/>
  <c r="W12" i="29"/>
  <c r="U12" i="29"/>
  <c r="S12" i="29"/>
  <c r="Q12" i="29"/>
  <c r="O12" i="29"/>
  <c r="K12" i="29"/>
  <c r="L12" i="29" s="1"/>
  <c r="E12" i="29"/>
  <c r="G12" i="29"/>
  <c r="A12" i="29"/>
  <c r="AU10" i="29"/>
  <c r="AW10" i="29" s="1"/>
  <c r="AU11" i="29"/>
  <c r="AW11" i="29" s="1"/>
  <c r="AU13" i="29"/>
  <c r="AW13" i="29" s="1"/>
  <c r="AU14" i="29"/>
  <c r="AW14" i="29" s="1"/>
  <c r="AU15" i="29"/>
  <c r="AW15" i="29" s="1"/>
  <c r="AU16" i="29"/>
  <c r="AW16" i="29" s="1"/>
  <c r="AU19" i="29"/>
  <c r="AW19" i="29" s="1"/>
  <c r="AU20" i="29"/>
  <c r="AW20" i="29" s="1"/>
  <c r="AU21" i="29"/>
  <c r="AW21" i="29" s="1"/>
  <c r="AU22" i="29"/>
  <c r="AW22" i="29" s="1"/>
  <c r="AU23" i="29"/>
  <c r="AW23" i="29" s="1"/>
  <c r="AU24" i="29"/>
  <c r="AW24" i="29" s="1"/>
  <c r="AU25" i="29"/>
  <c r="AW25" i="29" s="1"/>
  <c r="AU26" i="29"/>
  <c r="AW26" i="29" s="1"/>
  <c r="AU27" i="29"/>
  <c r="AW27" i="29" s="1"/>
  <c r="AU28" i="29"/>
  <c r="AW28" i="29" s="1"/>
  <c r="AU29" i="29"/>
  <c r="AW29" i="29" s="1"/>
  <c r="AU30" i="29"/>
  <c r="AW30" i="29" s="1"/>
  <c r="AU31" i="29"/>
  <c r="AW31" i="29" s="1"/>
  <c r="AU32" i="29"/>
  <c r="AW32" i="29" s="1"/>
  <c r="AU33" i="29"/>
  <c r="AW33" i="29" s="1"/>
  <c r="AU34" i="29"/>
  <c r="AW34" i="29" s="1"/>
  <c r="AU35" i="29"/>
  <c r="AW35" i="29" s="1"/>
  <c r="AU36" i="29"/>
  <c r="AW36" i="29" s="1"/>
  <c r="AU37" i="29"/>
  <c r="AW37" i="29" s="1"/>
  <c r="AU38" i="29"/>
  <c r="AW38" i="29" s="1"/>
  <c r="AU39" i="29"/>
  <c r="AU40" i="29"/>
  <c r="AW40" i="29" s="1"/>
  <c r="AU41" i="29"/>
  <c r="AW41" i="29" s="1"/>
  <c r="AU42" i="29"/>
  <c r="AW42" i="29"/>
  <c r="AU43" i="29"/>
  <c r="AW43" i="29" s="1"/>
  <c r="AU44" i="29"/>
  <c r="AW44" i="29" s="1"/>
  <c r="AU47" i="29"/>
  <c r="AW47" i="29" s="1"/>
  <c r="BO13" i="29"/>
  <c r="BN13" i="29"/>
  <c r="AR13" i="29"/>
  <c r="BJ13" i="29"/>
  <c r="BG13" i="29"/>
  <c r="BE13" i="29"/>
  <c r="BA13" i="29"/>
  <c r="AY13" i="29"/>
  <c r="AK13" i="29"/>
  <c r="AM13" i="29" s="1"/>
  <c r="AG13" i="29"/>
  <c r="AI13" i="29" s="1"/>
  <c r="Z13" i="29"/>
  <c r="AB13" i="29"/>
  <c r="W13" i="29"/>
  <c r="U13" i="29"/>
  <c r="S13" i="29"/>
  <c r="Q13" i="29"/>
  <c r="O13" i="29"/>
  <c r="K13" i="29"/>
  <c r="L13" i="29" s="1"/>
  <c r="E13" i="29"/>
  <c r="G13" i="29" s="1"/>
  <c r="A13" i="29"/>
  <c r="AW39" i="29"/>
  <c r="C83" i="5"/>
  <c r="B83" i="5"/>
  <c r="C82" i="5"/>
  <c r="B82" i="5"/>
  <c r="C81" i="5"/>
  <c r="B81" i="5"/>
  <c r="C80" i="5"/>
  <c r="B80" i="5"/>
  <c r="C79" i="5"/>
  <c r="B79" i="5"/>
  <c r="C78" i="5"/>
  <c r="B78" i="5"/>
  <c r="C77" i="5"/>
  <c r="B77" i="5"/>
  <c r="B76" i="5"/>
  <c r="BO10" i="29"/>
  <c r="BO11" i="29"/>
  <c r="BO14" i="29"/>
  <c r="BO15" i="29"/>
  <c r="BO16" i="29"/>
  <c r="BO19" i="29"/>
  <c r="BO20" i="29"/>
  <c r="BO21" i="29"/>
  <c r="BO22" i="29"/>
  <c r="BO23" i="29"/>
  <c r="BO24" i="29"/>
  <c r="BO25" i="29"/>
  <c r="BO26" i="29"/>
  <c r="BO27" i="29"/>
  <c r="BO28" i="29"/>
  <c r="BO29" i="29"/>
  <c r="BO30" i="29"/>
  <c r="BO31" i="29"/>
  <c r="BO32" i="29"/>
  <c r="BO33" i="29"/>
  <c r="BO34" i="29"/>
  <c r="BO35" i="29"/>
  <c r="BO36" i="29"/>
  <c r="BO37" i="29"/>
  <c r="BO38" i="29"/>
  <c r="BO39" i="29"/>
  <c r="BO40" i="29"/>
  <c r="BO41" i="29"/>
  <c r="BO42" i="29"/>
  <c r="BO43" i="29"/>
  <c r="BO44" i="29"/>
  <c r="BO47" i="29"/>
  <c r="BO8" i="29"/>
  <c r="B75" i="5"/>
  <c r="BN19" i="29"/>
  <c r="BJ19" i="29"/>
  <c r="BG19" i="29"/>
  <c r="BE19" i="29"/>
  <c r="BA19" i="29"/>
  <c r="AY19" i="29"/>
  <c r="AR19" i="29"/>
  <c r="AK19" i="29"/>
  <c r="AM19" i="29" s="1"/>
  <c r="AG19" i="29"/>
  <c r="AI19" i="29" s="1"/>
  <c r="Z19" i="29"/>
  <c r="AB19" i="29"/>
  <c r="W19" i="29"/>
  <c r="U19" i="29"/>
  <c r="S19" i="29"/>
  <c r="Q19" i="29"/>
  <c r="O19" i="29"/>
  <c r="K19" i="29"/>
  <c r="L19" i="29" s="1"/>
  <c r="E19" i="29"/>
  <c r="G19" i="29" s="1"/>
  <c r="A19" i="29"/>
  <c r="BJ21" i="29"/>
  <c r="BA21" i="29"/>
  <c r="BE11" i="29"/>
  <c r="BE14" i="29"/>
  <c r="BE15" i="29"/>
  <c r="BE16" i="29"/>
  <c r="BE20" i="29"/>
  <c r="BE21" i="29"/>
  <c r="BE22" i="29"/>
  <c r="BE23" i="29"/>
  <c r="BE24" i="29"/>
  <c r="BE25" i="29"/>
  <c r="BE26" i="29"/>
  <c r="BE27" i="29"/>
  <c r="BE28" i="29"/>
  <c r="BE29" i="29"/>
  <c r="BE30" i="29"/>
  <c r="BE31" i="29"/>
  <c r="BE32" i="29"/>
  <c r="BE33" i="29"/>
  <c r="BE34" i="29"/>
  <c r="BE35" i="29"/>
  <c r="BE36" i="29"/>
  <c r="BE37" i="29"/>
  <c r="BE38" i="29"/>
  <c r="BE39" i="29"/>
  <c r="BE40" i="29"/>
  <c r="BE41" i="29"/>
  <c r="BE42" i="29"/>
  <c r="BE43" i="29"/>
  <c r="BE44" i="29"/>
  <c r="BE47" i="29"/>
  <c r="BE10" i="29"/>
  <c r="BE8" i="29"/>
  <c r="K11" i="29"/>
  <c r="L11" i="29" s="1"/>
  <c r="K14" i="29"/>
  <c r="L14" i="29" s="1"/>
  <c r="K15" i="29"/>
  <c r="L15" i="29" s="1"/>
  <c r="K16" i="29"/>
  <c r="L16" i="29" s="1"/>
  <c r="K20" i="29"/>
  <c r="K21" i="29"/>
  <c r="L21" i="29" s="1"/>
  <c r="K22" i="29"/>
  <c r="L22" i="29" s="1"/>
  <c r="K23" i="29"/>
  <c r="L23" i="29" s="1"/>
  <c r="K24" i="29"/>
  <c r="L24" i="29" s="1"/>
  <c r="K25" i="29"/>
  <c r="K26" i="29"/>
  <c r="L26" i="29" s="1"/>
  <c r="K27" i="29"/>
  <c r="L27" i="29" s="1"/>
  <c r="K28" i="29"/>
  <c r="K29" i="29"/>
  <c r="K30" i="29"/>
  <c r="K31" i="29"/>
  <c r="L31" i="29" s="1"/>
  <c r="K32" i="29"/>
  <c r="L32" i="29" s="1"/>
  <c r="K33" i="29"/>
  <c r="L33" i="29" s="1"/>
  <c r="K34" i="29"/>
  <c r="L34" i="29" s="1"/>
  <c r="K35" i="29"/>
  <c r="L35" i="29" s="1"/>
  <c r="K36" i="29"/>
  <c r="L36" i="29" s="1"/>
  <c r="K37" i="29"/>
  <c r="L37" i="29" s="1"/>
  <c r="K38" i="29"/>
  <c r="L38" i="29" s="1"/>
  <c r="K39" i="29"/>
  <c r="L39" i="29" s="1"/>
  <c r="K40" i="29"/>
  <c r="L40" i="29" s="1"/>
  <c r="K41" i="29"/>
  <c r="K42" i="29"/>
  <c r="L42" i="29" s="1"/>
  <c r="K43" i="29"/>
  <c r="L43" i="29" s="1"/>
  <c r="K44" i="29"/>
  <c r="L44" i="29" s="1"/>
  <c r="K47" i="29"/>
  <c r="K10" i="29"/>
  <c r="L10" i="29" s="1"/>
  <c r="K8" i="29"/>
  <c r="L8" i="29" s="1"/>
  <c r="BG11" i="29"/>
  <c r="BG14" i="29"/>
  <c r="BG15" i="29"/>
  <c r="BG16" i="29"/>
  <c r="BG20" i="29"/>
  <c r="BG21" i="29"/>
  <c r="BG22" i="29"/>
  <c r="BG23" i="29"/>
  <c r="BG24" i="29"/>
  <c r="BG25" i="29"/>
  <c r="BG26" i="29"/>
  <c r="BG27" i="29"/>
  <c r="BG28" i="29"/>
  <c r="BG29" i="29"/>
  <c r="BG30" i="29"/>
  <c r="BG31" i="29"/>
  <c r="BG32" i="29"/>
  <c r="BG33" i="29"/>
  <c r="BG34" i="29"/>
  <c r="BG35" i="29"/>
  <c r="BG36" i="29"/>
  <c r="BG37" i="29"/>
  <c r="BG38" i="29"/>
  <c r="BG39" i="29"/>
  <c r="BG40" i="29"/>
  <c r="BG41" i="29"/>
  <c r="BG42" i="29"/>
  <c r="BG43" i="29"/>
  <c r="BG44" i="29"/>
  <c r="BG47" i="29"/>
  <c r="BG10" i="29"/>
  <c r="BG8" i="29"/>
  <c r="BJ8" i="29" s="1"/>
  <c r="AY11" i="29"/>
  <c r="AY14" i="29"/>
  <c r="AY15" i="29"/>
  <c r="AY16" i="29"/>
  <c r="AY20" i="29"/>
  <c r="AY21" i="29"/>
  <c r="AY22" i="29"/>
  <c r="AY23" i="29"/>
  <c r="AY24" i="29"/>
  <c r="AY25" i="29"/>
  <c r="AY26" i="29"/>
  <c r="AY27" i="29"/>
  <c r="AY28" i="29"/>
  <c r="AY29" i="29"/>
  <c r="AY30" i="29"/>
  <c r="AY31" i="29"/>
  <c r="AY32" i="29"/>
  <c r="AY33" i="29"/>
  <c r="AY34" i="29"/>
  <c r="AY35" i="29"/>
  <c r="AY36" i="29"/>
  <c r="AY37" i="29"/>
  <c r="AY38" i="29"/>
  <c r="AY39" i="29"/>
  <c r="AY40" i="29"/>
  <c r="AY41" i="29"/>
  <c r="AY42" i="29"/>
  <c r="AY43" i="29"/>
  <c r="AY44" i="29"/>
  <c r="AY47" i="29"/>
  <c r="AY10" i="29"/>
  <c r="AY8" i="29"/>
  <c r="BA8" i="29" s="1"/>
  <c r="AK11" i="29"/>
  <c r="AM11" i="29" s="1"/>
  <c r="AK14" i="29"/>
  <c r="AM14" i="29" s="1"/>
  <c r="AK15" i="29"/>
  <c r="AK16" i="29"/>
  <c r="AK20" i="29"/>
  <c r="AM20" i="29" s="1"/>
  <c r="AK21" i="29"/>
  <c r="AM21" i="29" s="1"/>
  <c r="AK22" i="29"/>
  <c r="AM22" i="29" s="1"/>
  <c r="AK23" i="29"/>
  <c r="AM23" i="29" s="1"/>
  <c r="AK24" i="29"/>
  <c r="AM24" i="29" s="1"/>
  <c r="AK25" i="29"/>
  <c r="AM25" i="29" s="1"/>
  <c r="AK26" i="29"/>
  <c r="AK27" i="29"/>
  <c r="AK28" i="29"/>
  <c r="AM28" i="29" s="1"/>
  <c r="AK29" i="29"/>
  <c r="AM29" i="29" s="1"/>
  <c r="AK30" i="29"/>
  <c r="AM30" i="29" s="1"/>
  <c r="AK31" i="29"/>
  <c r="AM31" i="29" s="1"/>
  <c r="AK32" i="29"/>
  <c r="AM32" i="29" s="1"/>
  <c r="AK33" i="29"/>
  <c r="AM33" i="29" s="1"/>
  <c r="AK34" i="29"/>
  <c r="AK35" i="29"/>
  <c r="AK36" i="29"/>
  <c r="AM36" i="29" s="1"/>
  <c r="AK37" i="29"/>
  <c r="AM37" i="29" s="1"/>
  <c r="AK38" i="29"/>
  <c r="AM38" i="29" s="1"/>
  <c r="AK39" i="29"/>
  <c r="AM39" i="29" s="1"/>
  <c r="AK40" i="29"/>
  <c r="AM40" i="29" s="1"/>
  <c r="AK41" i="29"/>
  <c r="AM41" i="29" s="1"/>
  <c r="AK42" i="29"/>
  <c r="AK43" i="29"/>
  <c r="AK44" i="29"/>
  <c r="AM44" i="29" s="1"/>
  <c r="AK47" i="29"/>
  <c r="AM47" i="29" s="1"/>
  <c r="AK10" i="29"/>
  <c r="AM10" i="29" s="1"/>
  <c r="AK8" i="29"/>
  <c r="AM8" i="29" s="1"/>
  <c r="AG10" i="29"/>
  <c r="AI10" i="29" s="1"/>
  <c r="AG11" i="29"/>
  <c r="AI11" i="29" s="1"/>
  <c r="AG14" i="29"/>
  <c r="AI14" i="29" s="1"/>
  <c r="AG15" i="29"/>
  <c r="AI15" i="29"/>
  <c r="AG16" i="29"/>
  <c r="AI16" i="29" s="1"/>
  <c r="AG20" i="29"/>
  <c r="AI20" i="29" s="1"/>
  <c r="AG21" i="29"/>
  <c r="AI21" i="29" s="1"/>
  <c r="AG22" i="29"/>
  <c r="AI22" i="29" s="1"/>
  <c r="AG23" i="29"/>
  <c r="AI23" i="29" s="1"/>
  <c r="AG24" i="29"/>
  <c r="AG25" i="29"/>
  <c r="AI25" i="29" s="1"/>
  <c r="AG26" i="29"/>
  <c r="AI26" i="29" s="1"/>
  <c r="AG27" i="29"/>
  <c r="AI27" i="29" s="1"/>
  <c r="AG28" i="29"/>
  <c r="AI28" i="29" s="1"/>
  <c r="AG29" i="29"/>
  <c r="AI29" i="29" s="1"/>
  <c r="AG30" i="29"/>
  <c r="AI30" i="29" s="1"/>
  <c r="AG31" i="29"/>
  <c r="AI31" i="29" s="1"/>
  <c r="AG32" i="29"/>
  <c r="AI32" i="29" s="1"/>
  <c r="AG33" i="29"/>
  <c r="AI33" i="29" s="1"/>
  <c r="AG34" i="29"/>
  <c r="AI34" i="29" s="1"/>
  <c r="AG35" i="29"/>
  <c r="AI35" i="29" s="1"/>
  <c r="AG36" i="29"/>
  <c r="AI36" i="29" s="1"/>
  <c r="AG37" i="29"/>
  <c r="AI37" i="29" s="1"/>
  <c r="AG38" i="29"/>
  <c r="AI38" i="29" s="1"/>
  <c r="AG39" i="29"/>
  <c r="AI39" i="29" s="1"/>
  <c r="AG40" i="29"/>
  <c r="AI40" i="29" s="1"/>
  <c r="AG41" i="29"/>
  <c r="AI41" i="29" s="1"/>
  <c r="AG42" i="29"/>
  <c r="AI42" i="29" s="1"/>
  <c r="AG43" i="29"/>
  <c r="AI43" i="29" s="1"/>
  <c r="AG44" i="29"/>
  <c r="AI44" i="29" s="1"/>
  <c r="AG47" i="29"/>
  <c r="AI47" i="29" s="1"/>
  <c r="AG8" i="29"/>
  <c r="AI8" i="29" s="1"/>
  <c r="S10" i="29"/>
  <c r="S11" i="29"/>
  <c r="S14" i="29"/>
  <c r="S15" i="29"/>
  <c r="S16" i="29"/>
  <c r="S20" i="29"/>
  <c r="S21" i="29"/>
  <c r="S22" i="29"/>
  <c r="S23" i="29"/>
  <c r="S24" i="29"/>
  <c r="S25" i="29"/>
  <c r="S26" i="29"/>
  <c r="S27" i="29"/>
  <c r="S28" i="29"/>
  <c r="S29" i="29"/>
  <c r="S30" i="29"/>
  <c r="S31" i="29"/>
  <c r="S32" i="29"/>
  <c r="S33" i="29"/>
  <c r="S34" i="29"/>
  <c r="S35" i="29"/>
  <c r="S36" i="29"/>
  <c r="S37" i="29"/>
  <c r="S38" i="29"/>
  <c r="S39" i="29"/>
  <c r="S40" i="29"/>
  <c r="S41" i="29"/>
  <c r="S42" i="29"/>
  <c r="S43" i="29"/>
  <c r="S44" i="29"/>
  <c r="S47" i="29"/>
  <c r="Q10" i="29"/>
  <c r="Q11" i="29"/>
  <c r="Q14" i="29"/>
  <c r="Q15" i="29"/>
  <c r="Q16" i="29"/>
  <c r="Q20" i="29"/>
  <c r="Q21" i="29"/>
  <c r="Q22" i="29"/>
  <c r="Q23" i="29"/>
  <c r="Q24" i="29"/>
  <c r="Q25" i="29"/>
  <c r="Q26" i="29"/>
  <c r="Q27" i="29"/>
  <c r="Q28" i="29"/>
  <c r="Q29" i="29"/>
  <c r="Q30" i="29"/>
  <c r="Q31" i="29"/>
  <c r="Q32" i="29"/>
  <c r="Q33" i="29"/>
  <c r="Q34" i="29"/>
  <c r="Q35" i="29"/>
  <c r="Q36" i="29"/>
  <c r="Q37" i="29"/>
  <c r="Q38" i="29"/>
  <c r="Q39" i="29"/>
  <c r="Q40" i="29"/>
  <c r="Q41" i="29"/>
  <c r="Q42" i="29"/>
  <c r="Q43" i="29"/>
  <c r="Q44" i="29"/>
  <c r="Q47" i="29"/>
  <c r="U10" i="29"/>
  <c r="U11" i="29"/>
  <c r="U14" i="29"/>
  <c r="U15" i="29"/>
  <c r="U16" i="29"/>
  <c r="U20" i="29"/>
  <c r="U21" i="29"/>
  <c r="U22" i="29"/>
  <c r="U23" i="29"/>
  <c r="U24" i="29"/>
  <c r="U25" i="29"/>
  <c r="U26" i="29"/>
  <c r="U27" i="29"/>
  <c r="U28" i="29"/>
  <c r="U29" i="29"/>
  <c r="U30" i="29"/>
  <c r="U31" i="29"/>
  <c r="U32" i="29"/>
  <c r="U33" i="29"/>
  <c r="U34" i="29"/>
  <c r="U35" i="29"/>
  <c r="U36" i="29"/>
  <c r="U37" i="29"/>
  <c r="U38" i="29"/>
  <c r="U39" i="29"/>
  <c r="U40" i="29"/>
  <c r="U41" i="29"/>
  <c r="U42" i="29"/>
  <c r="U43" i="29"/>
  <c r="U44" i="29"/>
  <c r="U47" i="29"/>
  <c r="W10" i="29"/>
  <c r="W11" i="29"/>
  <c r="W14" i="29"/>
  <c r="W15" i="29"/>
  <c r="W16" i="29"/>
  <c r="W20" i="29"/>
  <c r="W21" i="29"/>
  <c r="W22" i="29"/>
  <c r="W23" i="29"/>
  <c r="W24" i="29"/>
  <c r="W25" i="29"/>
  <c r="W26" i="29"/>
  <c r="W27" i="29"/>
  <c r="W28" i="29"/>
  <c r="W29" i="29"/>
  <c r="W30" i="29"/>
  <c r="W31" i="29"/>
  <c r="W32" i="29"/>
  <c r="W33" i="29"/>
  <c r="W34" i="29"/>
  <c r="W35" i="29"/>
  <c r="W36" i="29"/>
  <c r="W37" i="29"/>
  <c r="W38" i="29"/>
  <c r="W39" i="29"/>
  <c r="W40" i="29"/>
  <c r="W41" i="29"/>
  <c r="W42" i="29"/>
  <c r="W43" i="29"/>
  <c r="W44" i="29"/>
  <c r="W47" i="29"/>
  <c r="Z24" i="29"/>
  <c r="AB24" i="29" s="1"/>
  <c r="Z25" i="29"/>
  <c r="AB25" i="29" s="1"/>
  <c r="Z26" i="29"/>
  <c r="AB26" i="29" s="1"/>
  <c r="Z27" i="29"/>
  <c r="AB27" i="29" s="1"/>
  <c r="Z28" i="29"/>
  <c r="AB28" i="29"/>
  <c r="Z29" i="29"/>
  <c r="AB29" i="29" s="1"/>
  <c r="Z30" i="29"/>
  <c r="AB30" i="29" s="1"/>
  <c r="Z31" i="29"/>
  <c r="AB31" i="29" s="1"/>
  <c r="Z32" i="29"/>
  <c r="AB32" i="29" s="1"/>
  <c r="Z33" i="29"/>
  <c r="AB33" i="29" s="1"/>
  <c r="Z34" i="29"/>
  <c r="AB34" i="29" s="1"/>
  <c r="Z35" i="29"/>
  <c r="AB35" i="29" s="1"/>
  <c r="Z36" i="29"/>
  <c r="AB36" i="29" s="1"/>
  <c r="Z37" i="29"/>
  <c r="AB37" i="29" s="1"/>
  <c r="Z38" i="29"/>
  <c r="AB38" i="29" s="1"/>
  <c r="Z39" i="29"/>
  <c r="AB39" i="29" s="1"/>
  <c r="Z40" i="29"/>
  <c r="AB40" i="29" s="1"/>
  <c r="Z41" i="29"/>
  <c r="AB41" i="29" s="1"/>
  <c r="Z42" i="29"/>
  <c r="AB42" i="29" s="1"/>
  <c r="Z43" i="29"/>
  <c r="AB43" i="29" s="1"/>
  <c r="Z44" i="29"/>
  <c r="AB44" i="29" s="1"/>
  <c r="Z47" i="29"/>
  <c r="AB47" i="29" s="1"/>
  <c r="Z10" i="29"/>
  <c r="AB10" i="29" s="1"/>
  <c r="Z11" i="29"/>
  <c r="AB11" i="29" s="1"/>
  <c r="Z14" i="29"/>
  <c r="AB14" i="29" s="1"/>
  <c r="Z15" i="29"/>
  <c r="AB15" i="29" s="1"/>
  <c r="Z16" i="29"/>
  <c r="AB16" i="29" s="1"/>
  <c r="Z20" i="29"/>
  <c r="AB20" i="29" s="1"/>
  <c r="Z21" i="29"/>
  <c r="AB21" i="29"/>
  <c r="Z22" i="29"/>
  <c r="AB22" i="29" s="1"/>
  <c r="Z23" i="29"/>
  <c r="AB23" i="29" s="1"/>
  <c r="Z8" i="29"/>
  <c r="AB8" i="29" s="1"/>
  <c r="U8" i="29"/>
  <c r="W8" i="29" s="1"/>
  <c r="Q8" i="29"/>
  <c r="S8" i="29" s="1"/>
  <c r="E10" i="29"/>
  <c r="G10" i="29"/>
  <c r="E11" i="29"/>
  <c r="G11" i="29" s="1"/>
  <c r="E14" i="29"/>
  <c r="G14" i="29" s="1"/>
  <c r="E15" i="29"/>
  <c r="G15" i="29" s="1"/>
  <c r="E16" i="29"/>
  <c r="G16" i="29" s="1"/>
  <c r="E20" i="29"/>
  <c r="G20" i="29" s="1"/>
  <c r="E21" i="29"/>
  <c r="G21" i="29" s="1"/>
  <c r="E22" i="29"/>
  <c r="G22" i="29" s="1"/>
  <c r="E23" i="29"/>
  <c r="G23" i="29" s="1"/>
  <c r="E24" i="29"/>
  <c r="G24" i="29" s="1"/>
  <c r="E25" i="29"/>
  <c r="E26" i="29"/>
  <c r="G26" i="29" s="1"/>
  <c r="E27" i="29"/>
  <c r="G27" i="29" s="1"/>
  <c r="E28" i="29"/>
  <c r="G28" i="29" s="1"/>
  <c r="E29" i="29"/>
  <c r="G29" i="29" s="1"/>
  <c r="E30" i="29"/>
  <c r="G30" i="29" s="1"/>
  <c r="E31" i="29"/>
  <c r="G31" i="29" s="1"/>
  <c r="E32" i="29"/>
  <c r="G32" i="29" s="1"/>
  <c r="E33" i="29"/>
  <c r="G33" i="29" s="1"/>
  <c r="E34" i="29"/>
  <c r="G34" i="29" s="1"/>
  <c r="E35" i="29"/>
  <c r="G35" i="29" s="1"/>
  <c r="E36" i="29"/>
  <c r="G36" i="29" s="1"/>
  <c r="E37" i="29"/>
  <c r="G37" i="29" s="1"/>
  <c r="E38" i="29"/>
  <c r="G38" i="29" s="1"/>
  <c r="E39" i="29"/>
  <c r="G39" i="29" s="1"/>
  <c r="E40" i="29"/>
  <c r="G40" i="29" s="1"/>
  <c r="E41" i="29"/>
  <c r="G41" i="29" s="1"/>
  <c r="E42" i="29"/>
  <c r="G42" i="29" s="1"/>
  <c r="E43" i="29"/>
  <c r="G43" i="29" s="1"/>
  <c r="E44" i="29"/>
  <c r="G44" i="29" s="1"/>
  <c r="E47" i="29"/>
  <c r="G47" i="29" s="1"/>
  <c r="E8" i="29"/>
  <c r="G8" i="29" s="1"/>
  <c r="BN10" i="29"/>
  <c r="AR10" i="29" s="1"/>
  <c r="BN11" i="29"/>
  <c r="AR11" i="29" s="1"/>
  <c r="BN14" i="29"/>
  <c r="AR14" i="29" s="1"/>
  <c r="BN15" i="29"/>
  <c r="AR15" i="29" s="1"/>
  <c r="BN16" i="29"/>
  <c r="AR16" i="29" s="1"/>
  <c r="BN20" i="29"/>
  <c r="AR20" i="29" s="1"/>
  <c r="BN21" i="29"/>
  <c r="AR21" i="29" s="1"/>
  <c r="BN22" i="29"/>
  <c r="AR22" i="29" s="1"/>
  <c r="BN23" i="29"/>
  <c r="AR23" i="29" s="1"/>
  <c r="BN24" i="29"/>
  <c r="AR24" i="29" s="1"/>
  <c r="BN25" i="29"/>
  <c r="AR25" i="29" s="1"/>
  <c r="BN26" i="29"/>
  <c r="AR26" i="29" s="1"/>
  <c r="BN27" i="29"/>
  <c r="AR27" i="29" s="1"/>
  <c r="BN28" i="29"/>
  <c r="AR28" i="29"/>
  <c r="BN29" i="29"/>
  <c r="AR29" i="29" s="1"/>
  <c r="BN30" i="29"/>
  <c r="AR30" i="29" s="1"/>
  <c r="BN31" i="29"/>
  <c r="AR31" i="29" s="1"/>
  <c r="BN32" i="29"/>
  <c r="AR32" i="29" s="1"/>
  <c r="BN33" i="29"/>
  <c r="AR33" i="29" s="1"/>
  <c r="BN34" i="29"/>
  <c r="AR34" i="29" s="1"/>
  <c r="BN35" i="29"/>
  <c r="AR35" i="29" s="1"/>
  <c r="BN36" i="29"/>
  <c r="AR36" i="29" s="1"/>
  <c r="BN37" i="29"/>
  <c r="AR37" i="29" s="1"/>
  <c r="BN38" i="29"/>
  <c r="AR38" i="29" s="1"/>
  <c r="BN39" i="29"/>
  <c r="AR39" i="29" s="1"/>
  <c r="BN40" i="29"/>
  <c r="AR40" i="29" s="1"/>
  <c r="BN41" i="29"/>
  <c r="AR41" i="29" s="1"/>
  <c r="BN42" i="29"/>
  <c r="AR42" i="29" s="1"/>
  <c r="BN43" i="29"/>
  <c r="AR43" i="29" s="1"/>
  <c r="BN44" i="29"/>
  <c r="AR44" i="29" s="1"/>
  <c r="BN47" i="29"/>
  <c r="AR47" i="29" s="1"/>
  <c r="BN8" i="29"/>
  <c r="AR8" i="29" s="1"/>
  <c r="AM15" i="29"/>
  <c r="AM16" i="29"/>
  <c r="AM26" i="29"/>
  <c r="AM27" i="29"/>
  <c r="AM34" i="29"/>
  <c r="AM35" i="29"/>
  <c r="AM42" i="29"/>
  <c r="AM43" i="29"/>
  <c r="AI24" i="29"/>
  <c r="O10" i="29"/>
  <c r="O11" i="29"/>
  <c r="O14" i="29"/>
  <c r="O15" i="29"/>
  <c r="O16" i="29"/>
  <c r="O20" i="29"/>
  <c r="O21" i="29"/>
  <c r="O22" i="29"/>
  <c r="O23" i="29"/>
  <c r="O24" i="29"/>
  <c r="O25" i="29"/>
  <c r="O26" i="29"/>
  <c r="O27" i="29"/>
  <c r="O28" i="29"/>
  <c r="O29" i="29"/>
  <c r="O30" i="29"/>
  <c r="O31" i="29"/>
  <c r="O32" i="29"/>
  <c r="O33" i="29"/>
  <c r="O34" i="29"/>
  <c r="O35" i="29"/>
  <c r="O36" i="29"/>
  <c r="O37" i="29"/>
  <c r="O38" i="29"/>
  <c r="O39" i="29"/>
  <c r="O40" i="29"/>
  <c r="O41" i="29"/>
  <c r="O42" i="29"/>
  <c r="O43" i="29"/>
  <c r="O44" i="29"/>
  <c r="O47" i="29"/>
  <c r="L20" i="29"/>
  <c r="L25" i="29"/>
  <c r="L28" i="29"/>
  <c r="L29" i="29"/>
  <c r="L30" i="29"/>
  <c r="L41" i="29"/>
  <c r="L47" i="29"/>
  <c r="G25" i="29"/>
  <c r="A21" i="29"/>
  <c r="O51" i="29"/>
  <c r="E8" i="27" s="1"/>
  <c r="L51" i="29"/>
  <c r="E7" i="27" s="1"/>
  <c r="W51" i="29"/>
  <c r="E10" i="27" s="1"/>
  <c r="BJ28" i="29"/>
  <c r="BA28" i="29"/>
  <c r="A28" i="29"/>
  <c r="BJ37" i="29"/>
  <c r="BA37" i="29"/>
  <c r="A37" i="29"/>
  <c r="BJ20" i="29"/>
  <c r="BA20" i="29"/>
  <c r="A20" i="29"/>
  <c r="BJ16" i="29"/>
  <c r="BA16" i="29"/>
  <c r="A16" i="29"/>
  <c r="AE51" i="29"/>
  <c r="E14" i="27" s="1"/>
  <c r="O8" i="29"/>
  <c r="BJ10" i="29"/>
  <c r="BJ51" i="29"/>
  <c r="E25" i="27" s="1"/>
  <c r="BE51" i="29"/>
  <c r="E24" i="27" s="1"/>
  <c r="BA10" i="29"/>
  <c r="BA51" i="29"/>
  <c r="E21" i="27" s="1"/>
  <c r="AW51" i="29"/>
  <c r="E20" i="27" s="1"/>
  <c r="AR51" i="29"/>
  <c r="E19" i="27" s="1"/>
  <c r="AM51" i="29"/>
  <c r="E16" i="27" s="1"/>
  <c r="AI51" i="29"/>
  <c r="E15" i="27" s="1"/>
  <c r="AB51" i="29"/>
  <c r="E13" i="27" s="1"/>
  <c r="S51" i="29"/>
  <c r="E9" i="27" s="1"/>
  <c r="A10" i="29"/>
  <c r="G51" i="29"/>
  <c r="E6" i="27" s="1"/>
  <c r="BJ44" i="29"/>
  <c r="BA44" i="29"/>
  <c r="A44" i="29"/>
  <c r="BJ43" i="29"/>
  <c r="BA43" i="29"/>
  <c r="A43" i="29"/>
  <c r="BJ42" i="29"/>
  <c r="BA42" i="29"/>
  <c r="A42" i="29"/>
  <c r="BJ47" i="29"/>
  <c r="BA47" i="29"/>
  <c r="BJ41" i="29"/>
  <c r="BA41" i="29"/>
  <c r="BJ40" i="29"/>
  <c r="BA40" i="29"/>
  <c r="BJ39" i="29"/>
  <c r="BA39" i="29"/>
  <c r="BJ38" i="29"/>
  <c r="BA38" i="29"/>
  <c r="BJ36" i="29"/>
  <c r="BA36" i="29"/>
  <c r="BJ35" i="29"/>
  <c r="BA35" i="29"/>
  <c r="BJ34" i="29"/>
  <c r="BA34" i="29"/>
  <c r="BJ33" i="29"/>
  <c r="BA33" i="29"/>
  <c r="BJ32" i="29"/>
  <c r="BA32" i="29"/>
  <c r="BJ31" i="29"/>
  <c r="BA31" i="29"/>
  <c r="BJ30" i="29"/>
  <c r="BA30" i="29"/>
  <c r="BJ29" i="29"/>
  <c r="BA29" i="29"/>
  <c r="BJ27" i="29"/>
  <c r="BA27" i="29"/>
  <c r="BJ26" i="29"/>
  <c r="BA26" i="29"/>
  <c r="BJ25" i="29"/>
  <c r="BA25" i="29"/>
  <c r="BJ24" i="29"/>
  <c r="BA24" i="29"/>
  <c r="BJ23" i="29"/>
  <c r="BA23" i="29"/>
  <c r="BJ22" i="29"/>
  <c r="BA22" i="29"/>
  <c r="BJ15" i="29"/>
  <c r="BA15" i="29"/>
  <c r="BJ14" i="29"/>
  <c r="BA14" i="29"/>
  <c r="BJ11" i="29"/>
  <c r="BA11" i="29"/>
  <c r="BL2" i="29"/>
  <c r="BK2" i="29"/>
  <c r="BJ2" i="29"/>
  <c r="BI2" i="29"/>
  <c r="BH2" i="29"/>
  <c r="BG2" i="29"/>
  <c r="BF2" i="29"/>
  <c r="BE2" i="29"/>
  <c r="BD2" i="29"/>
  <c r="BC2" i="29"/>
  <c r="BB2" i="29"/>
  <c r="BA2" i="29"/>
  <c r="AZ2" i="29"/>
  <c r="AY2" i="29"/>
  <c r="AX2" i="29"/>
  <c r="AW2" i="29"/>
  <c r="AV2" i="29"/>
  <c r="AU2" i="29"/>
  <c r="AT2" i="29"/>
  <c r="AS2" i="29"/>
  <c r="AR2" i="29"/>
  <c r="AQ2" i="29"/>
  <c r="AP2" i="29"/>
  <c r="AO2" i="29"/>
  <c r="AN2" i="29"/>
  <c r="AM2" i="29"/>
  <c r="AL2" i="29"/>
  <c r="AK2" i="29"/>
  <c r="AJ2" i="29"/>
  <c r="AI2" i="29"/>
  <c r="AH2" i="29"/>
  <c r="AG2" i="29"/>
  <c r="AF2" i="29"/>
  <c r="AE2" i="29"/>
  <c r="AD2" i="29"/>
  <c r="AC2" i="29"/>
  <c r="AB2" i="29"/>
  <c r="AA2" i="29"/>
  <c r="Z2" i="29"/>
  <c r="Y2" i="29"/>
  <c r="X2" i="29"/>
  <c r="W2" i="29"/>
  <c r="V2" i="29"/>
  <c r="U2" i="29"/>
  <c r="T2" i="29"/>
  <c r="S2" i="29"/>
  <c r="R2" i="29"/>
  <c r="Q2" i="29"/>
  <c r="P2" i="29"/>
  <c r="O2" i="29"/>
  <c r="N2" i="29"/>
  <c r="M2" i="29"/>
  <c r="L2" i="29"/>
  <c r="K2" i="29"/>
  <c r="J2" i="29"/>
  <c r="I2" i="29"/>
  <c r="H2" i="29"/>
  <c r="G2" i="29"/>
  <c r="F2" i="29"/>
  <c r="E2" i="29"/>
  <c r="D2" i="29"/>
  <c r="A47" i="29"/>
  <c r="A41" i="29"/>
  <c r="A40" i="29"/>
  <c r="A39" i="29"/>
  <c r="A38" i="29"/>
  <c r="A36" i="29"/>
  <c r="A35" i="29"/>
  <c r="A34" i="29"/>
  <c r="A33" i="29"/>
  <c r="A32" i="29"/>
  <c r="A31" i="29"/>
  <c r="A30" i="29"/>
  <c r="A29" i="29"/>
  <c r="A27" i="29"/>
  <c r="A26" i="29"/>
  <c r="A25" i="29"/>
  <c r="A24" i="29"/>
  <c r="A23" i="29"/>
  <c r="A22" i="29"/>
  <c r="A15" i="29"/>
  <c r="A14" i="29"/>
  <c r="A11" i="29"/>
  <c r="A8" i="29"/>
  <c r="G46" i="33"/>
  <c r="B25" i="27"/>
  <c r="BK49" i="29"/>
  <c r="G23" i="27" s="1"/>
  <c r="BB49" i="29"/>
  <c r="G18" i="27" s="1"/>
  <c r="AN49" i="29"/>
  <c r="G12" i="27" s="1"/>
  <c r="X49" i="29"/>
  <c r="G5" i="27" s="1"/>
  <c r="AU8" i="29" l="1"/>
  <c r="AW8" i="29" s="1"/>
  <c r="S49" i="29"/>
  <c r="C9" i="27" s="1"/>
  <c r="AR49" i="29"/>
  <c r="C19" i="27" s="1"/>
  <c r="AM49" i="29"/>
  <c r="C16" i="27" s="1"/>
  <c r="W50" i="29"/>
  <c r="D10" i="27" s="1"/>
  <c r="AB49" i="29"/>
  <c r="C13" i="27" s="1"/>
  <c r="BE49" i="29"/>
  <c r="C24" i="27" s="1"/>
  <c r="O49" i="29"/>
  <c r="C8" i="27" s="1"/>
  <c r="S50" i="29"/>
  <c r="D9" i="27" s="1"/>
  <c r="G28" i="27"/>
  <c r="AI49" i="29"/>
  <c r="C15" i="27" s="1"/>
  <c r="AW49" i="29"/>
  <c r="C20" i="27" s="1"/>
  <c r="G49" i="29"/>
  <c r="C6" i="27" s="1"/>
  <c r="G50" i="29"/>
  <c r="D6" i="27" s="1"/>
  <c r="L49" i="29"/>
  <c r="C7" i="27" s="1"/>
  <c r="BE50" i="29"/>
  <c r="D24" i="27" s="1"/>
  <c r="AE49" i="29"/>
  <c r="C14" i="27" s="1"/>
  <c r="AE50" i="29"/>
  <c r="D14" i="27" s="1"/>
  <c r="AM50" i="29"/>
  <c r="D16" i="27" s="1"/>
  <c r="F27" i="27"/>
  <c r="BA49" i="29"/>
  <c r="C21" i="27" s="1"/>
  <c r="BA50" i="29"/>
  <c r="D21" i="27" s="1"/>
  <c r="E27" i="27"/>
  <c r="AB50" i="29"/>
  <c r="D13" i="27" s="1"/>
  <c r="AI50" i="29"/>
  <c r="D15" i="27" s="1"/>
  <c r="BJ49" i="29"/>
  <c r="C25" i="27" s="1"/>
  <c r="L50" i="29"/>
  <c r="D7" i="27" s="1"/>
  <c r="BJ50" i="29"/>
  <c r="D25" i="27" s="1"/>
  <c r="O50" i="29"/>
  <c r="D8" i="27" s="1"/>
  <c r="W49" i="29"/>
  <c r="C10" i="27" s="1"/>
  <c r="AR50" i="29"/>
  <c r="D19" i="27" s="1"/>
  <c r="AW50" i="29"/>
  <c r="D20" i="27" s="1"/>
  <c r="D27" i="27" l="1"/>
  <c r="C27"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greenchr</author>
    <author>Luc Vangrunderbeeck</author>
  </authors>
  <commentList>
    <comment ref="B21" authorId="0" shapeId="0" xr:uid="{00000000-0006-0000-0100-000001000000}">
      <text>
        <r>
          <rPr>
            <b/>
            <sz val="8"/>
            <color indexed="81"/>
            <rFont val="Tahoma"/>
            <family val="2"/>
          </rPr>
          <t>New Development: building a new software product in a context where the customer has no existing product meeting their requirements.
Re-development: creating a software product with new technology that replaces or enhances a product that customers currently use. 
Enhancement: changing or extending the functionality of an existing product.</t>
        </r>
      </text>
    </comment>
    <comment ref="B30" authorId="0" shapeId="0" xr:uid="{00000000-0006-0000-0100-000002000000}">
      <text>
        <r>
          <rPr>
            <b/>
            <sz val="8"/>
            <color indexed="81"/>
            <rFont val="Tahoma"/>
            <family val="2"/>
          </rPr>
          <t xml:space="preserve">This is a question for which a response is essential if the project data is to be useful.
 Programming Language: primary language/tool used to create the source code/objects.
Integrated Development Environment: development environment integrating a range of tools to aid the processes of designing, constructing and testing the software; typically, incorporating graphical and component based development techniques. 
Debugging: tools specifically to identify location of software defects.
Database: specific tool used for persistent data storage that is distinct from the programming language. 
E-Mail or Message Server: tool used specifically to support messages between different software systems. </t>
        </r>
        <r>
          <rPr>
            <sz val="8"/>
            <color indexed="81"/>
            <rFont val="Tahoma"/>
            <family val="2"/>
          </rPr>
          <t xml:space="preserve">
</t>
        </r>
      </text>
    </comment>
    <comment ref="B39" authorId="0" shapeId="0" xr:uid="{00000000-0006-0000-0100-000003000000}">
      <text>
        <r>
          <rPr>
            <b/>
            <sz val="8"/>
            <color indexed="81"/>
            <rFont val="Tahoma"/>
            <family val="2"/>
          </rPr>
          <t>There is strong evidence that the type of industry for which the application or software product is intended, or in which it is currently being used, has an impact on the project performance</t>
        </r>
        <r>
          <rPr>
            <sz val="8"/>
            <color indexed="81"/>
            <rFont val="Tahoma"/>
            <family val="2"/>
          </rPr>
          <t xml:space="preserve">
</t>
        </r>
      </text>
    </comment>
    <comment ref="B44" authorId="0" shapeId="0" xr:uid="{00000000-0006-0000-0100-000004000000}">
      <text>
        <r>
          <rPr>
            <b/>
            <sz val="8"/>
            <color indexed="81"/>
            <rFont val="Tahoma"/>
            <family val="2"/>
          </rPr>
          <t>Conventional wisdom indicates that the type of software application being developed, or being enhanced, has an impact on the project’s productivity</t>
        </r>
        <r>
          <rPr>
            <sz val="8"/>
            <color indexed="81"/>
            <rFont val="Tahoma"/>
            <family val="2"/>
          </rPr>
          <t xml:space="preserve">
</t>
        </r>
      </text>
    </comment>
    <comment ref="G48" authorId="1" shapeId="0" xr:uid="{00000000-0006-0000-0100-000005000000}">
      <text>
        <r>
          <rPr>
            <sz val="9"/>
            <color indexed="81"/>
            <rFont val="Tahoma"/>
            <family val="2"/>
          </rPr>
          <t xml:space="preserve">% should be enterred as a whole number
</t>
        </r>
      </text>
    </comment>
    <comment ref="G49" authorId="1" shapeId="0" xr:uid="{00000000-0006-0000-0100-000006000000}">
      <text>
        <r>
          <rPr>
            <sz val="9"/>
            <color indexed="81"/>
            <rFont val="Tahoma"/>
            <family val="2"/>
          </rPr>
          <t xml:space="preserve">% should be enterred as a whole number
</t>
        </r>
      </text>
    </comment>
    <comment ref="B56" authorId="0" shapeId="0" xr:uid="{00000000-0006-0000-0100-000007000000}">
      <text>
        <r>
          <rPr>
            <b/>
            <sz val="8"/>
            <color indexed="81"/>
            <rFont val="Tahoma"/>
            <family val="2"/>
          </rPr>
          <t>A short introduction to the project. Description high level the scope of the project</t>
        </r>
      </text>
    </comment>
    <comment ref="B59" authorId="0" shapeId="0" xr:uid="{00000000-0006-0000-0100-000008000000}">
      <text>
        <r>
          <rPr>
            <b/>
            <sz val="8"/>
            <color indexed="81"/>
            <rFont val="Tahoma"/>
            <family val="2"/>
          </rPr>
          <t>The scope of the Assessment - as described in the APM</t>
        </r>
      </text>
    </comment>
    <comment ref="B62" authorId="0" shapeId="0" xr:uid="{00000000-0006-0000-0100-000009000000}">
      <text>
        <r>
          <rPr>
            <b/>
            <sz val="8"/>
            <color indexed="81"/>
            <rFont val="Tahoma"/>
            <family val="2"/>
          </rPr>
          <t>The Purpose of the Assessment - as descript in the APM</t>
        </r>
      </text>
    </comment>
    <comment ref="B71" authorId="0" shapeId="0" xr:uid="{00000000-0006-0000-0100-00000A000000}">
      <text>
        <r>
          <rPr>
            <b/>
            <sz val="8"/>
            <color indexed="81"/>
            <rFont val="Tahoma"/>
            <family val="2"/>
          </rPr>
          <t>This is essential to validating the count. Please specify the version used. Some organizations extend the standard with specific rules or guidelines.</t>
        </r>
      </text>
    </comment>
    <comment ref="B90" authorId="0" shapeId="0" xr:uid="{00000000-0006-0000-0100-00000B000000}">
      <text>
        <r>
          <rPr>
            <b/>
            <sz val="8"/>
            <color indexed="81"/>
            <rFont val="Tahoma"/>
            <family val="2"/>
          </rPr>
          <t xml:space="preserve">The following table is used to gather information about the composition of the development team and the effort that it expended. Most important is data for the number of distinct people involved in the project and the total effort, (in hours), that they expended. 
For each role there is a pair of entry boxes; one for the number of distinct people involved in that role; one for the effort expended on that role.  When one person performs multiple roles on a project, we only want to count that person once as a team member, so enter the person's count against the primary role, but as we want to get the effort break down by role, record his or her effort distributed across each role that the person performed.  (This second approach could result in effort recorded against a role that was no one person’s primary role.) </t>
        </r>
      </text>
    </comment>
  </commentList>
</comments>
</file>

<file path=xl/sharedStrings.xml><?xml version="1.0" encoding="utf-8"?>
<sst xmlns="http://schemas.openxmlformats.org/spreadsheetml/2006/main" count="619" uniqueCount="379">
  <si>
    <t>Database Technology</t>
  </si>
  <si>
    <t>Data Entry Validation</t>
  </si>
  <si>
    <t>Architecture</t>
  </si>
  <si>
    <t>Data Formatting</t>
  </si>
  <si>
    <t>UI Changes</t>
  </si>
  <si>
    <t>man*hours</t>
  </si>
  <si>
    <t>man*days</t>
  </si>
  <si>
    <t>man*weeks</t>
  </si>
  <si>
    <t>man*months</t>
  </si>
  <si>
    <t>No.</t>
  </si>
  <si>
    <t>Internal Data Movements</t>
  </si>
  <si>
    <t>Effort</t>
  </si>
  <si>
    <t>Estimated</t>
  </si>
  <si>
    <t>Planned</t>
  </si>
  <si>
    <t>Actual</t>
  </si>
  <si>
    <t>Multiple Output Methods</t>
  </si>
  <si>
    <t>Multiple Input Methods</t>
  </si>
  <si>
    <t>ROM</t>
  </si>
  <si>
    <t>Hours</t>
  </si>
  <si>
    <t>Help type</t>
  </si>
  <si>
    <t>Other</t>
  </si>
  <si>
    <t>Platform type</t>
  </si>
  <si>
    <t>Data Replication</t>
  </si>
  <si>
    <t>1. No replication of data</t>
  </si>
  <si>
    <t>2. Replication of data should happen at runtime at the same time</t>
  </si>
  <si>
    <t>3. Replication of data can happen offline in batch mode</t>
  </si>
  <si>
    <t>4. Replication of data will be handled automatically by the database</t>
  </si>
  <si>
    <t>Project Type</t>
  </si>
  <si>
    <t>New Development</t>
  </si>
  <si>
    <t>Re-Development</t>
  </si>
  <si>
    <t>Enhancement</t>
  </si>
  <si>
    <t>What type of lifecycle is used?</t>
  </si>
  <si>
    <t>Billing</t>
  </si>
  <si>
    <t>Industry</t>
  </si>
  <si>
    <t>Agriculture, Forestry, Fishing, Hunting</t>
  </si>
  <si>
    <t>Electronics</t>
  </si>
  <si>
    <t>Construction</t>
  </si>
  <si>
    <t>Consultancy</t>
  </si>
  <si>
    <t>Consumer Goods</t>
  </si>
  <si>
    <t>Electricity, Gas, Water</t>
  </si>
  <si>
    <t>Engineering</t>
  </si>
  <si>
    <t>Insurance</t>
  </si>
  <si>
    <t>Stocking</t>
  </si>
  <si>
    <t>Food Processing</t>
  </si>
  <si>
    <t>Information Technology</t>
  </si>
  <si>
    <t>Media</t>
  </si>
  <si>
    <t>Mining</t>
  </si>
  <si>
    <t>Publishing</t>
  </si>
  <si>
    <t>Real Estate &amp; Property</t>
  </si>
  <si>
    <t>Sales</t>
  </si>
  <si>
    <t>Telecommunication</t>
  </si>
  <si>
    <t>Transport &amp; Storage</t>
  </si>
  <si>
    <t>Industry:</t>
  </si>
  <si>
    <t>Stand Alone</t>
  </si>
  <si>
    <t>Client Server</t>
  </si>
  <si>
    <t>Multi-tier</t>
  </si>
  <si>
    <t>SOA</t>
  </si>
  <si>
    <t>Cloud</t>
  </si>
  <si>
    <t>SCU=The Functional Elementary Process</t>
  </si>
  <si>
    <t xml:space="preserve">SCU=Set of screens as defined by the functional elementary process </t>
  </si>
  <si>
    <t>Multiple Platforms</t>
  </si>
  <si>
    <t>Comments:</t>
  </si>
  <si>
    <t>Talmon Ben-Cnaan</t>
  </si>
  <si>
    <t>Maintenance</t>
  </si>
  <si>
    <t>Requirements elicitation:</t>
  </si>
  <si>
    <t>Software architect:</t>
  </si>
  <si>
    <t>User Interface design:</t>
  </si>
  <si>
    <t>Graphic Art / Design:</t>
  </si>
  <si>
    <t>Development/ Programming:</t>
  </si>
  <si>
    <t>Testing:</t>
  </si>
  <si>
    <t>Quality Assurance:</t>
  </si>
  <si>
    <t>End User Training:</t>
  </si>
  <si>
    <t>Database administration:</t>
  </si>
  <si>
    <t>IT System administration:</t>
  </si>
  <si>
    <t>Other: (Please specify below):</t>
  </si>
  <si>
    <t>Communications</t>
  </si>
  <si>
    <t>Community Services</t>
  </si>
  <si>
    <t>Computers &amp; Software</t>
  </si>
  <si>
    <t>Education Institution</t>
  </si>
  <si>
    <t>Government</t>
  </si>
  <si>
    <t>Manufacturing</t>
  </si>
  <si>
    <t>Oil &amp; Petroleum</t>
  </si>
  <si>
    <t>Professional Services</t>
  </si>
  <si>
    <t>Recreation &amp; Personnel Services</t>
  </si>
  <si>
    <t xml:space="preserve">Wholesale &amp; Retail </t>
  </si>
  <si>
    <t>Aerospace / Automotive</t>
  </si>
  <si>
    <t>Amusement/Game Center</t>
  </si>
  <si>
    <t>Business Services</t>
  </si>
  <si>
    <t>Commercial services</t>
  </si>
  <si>
    <t>Banking; Financial services</t>
  </si>
  <si>
    <t>Medical and Health Care</t>
  </si>
  <si>
    <t>Other (Specify)</t>
  </si>
  <si>
    <t>Specify here if "other":</t>
  </si>
  <si>
    <t>What procedure, if any, was used to record effort spent on in the project?</t>
  </si>
  <si>
    <r>
      <t xml:space="preserve">Recorded only the total </t>
    </r>
    <r>
      <rPr>
        <i/>
        <sz val="8"/>
        <rFont val="Times New Roman"/>
        <family val="1"/>
      </rPr>
      <t>hours worked each day</t>
    </r>
    <r>
      <rPr>
        <sz val="8"/>
        <rFont val="Times New Roman"/>
        <family val="1"/>
      </rPr>
      <t xml:space="preserve"> or week. </t>
    </r>
  </si>
  <si>
    <r>
      <t xml:space="preserve">Recorded </t>
    </r>
    <r>
      <rPr>
        <i/>
        <sz val="8"/>
        <rFont val="Times New Roman"/>
        <family val="1"/>
      </rPr>
      <t>hours worked on each project</t>
    </r>
    <r>
      <rPr>
        <sz val="8"/>
        <rFont val="Times New Roman"/>
        <family val="1"/>
      </rPr>
      <t xml:space="preserve"> for each day/week. </t>
    </r>
  </si>
  <si>
    <r>
      <t xml:space="preserve">Recorded the </t>
    </r>
    <r>
      <rPr>
        <i/>
        <sz val="8"/>
        <rFont val="Times New Roman"/>
        <family val="1"/>
      </rPr>
      <t>work done on each project task</t>
    </r>
    <r>
      <rPr>
        <sz val="8"/>
        <rFont val="Times New Roman"/>
        <family val="1"/>
      </rPr>
      <t xml:space="preserve"> for each day. </t>
    </r>
  </si>
  <si>
    <t xml:space="preserve">Other (specify):  </t>
  </si>
  <si>
    <r>
      <t>No</t>
    </r>
    <r>
      <rPr>
        <b/>
        <sz val="8"/>
        <rFont val="Times New Roman"/>
        <family val="1"/>
      </rPr>
      <t xml:space="preserve"> </t>
    </r>
    <r>
      <rPr>
        <sz val="8"/>
        <rFont val="Times New Roman"/>
        <family val="1"/>
      </rPr>
      <t>timesheets were recorded by the development team</t>
    </r>
  </si>
  <si>
    <t>Other: (Please specify):</t>
  </si>
  <si>
    <t>Poor</t>
  </si>
  <si>
    <t>Adequate</t>
  </si>
  <si>
    <t>Good</t>
  </si>
  <si>
    <t>Excellent</t>
  </si>
  <si>
    <t>Quality</t>
  </si>
  <si>
    <t>Catalogue or register of things or events</t>
  </si>
  <si>
    <t>Customer billing</t>
  </si>
  <si>
    <t>Customer relationship management</t>
  </si>
  <si>
    <t>Distribution</t>
  </si>
  <si>
    <t>Document management</t>
  </si>
  <si>
    <t>Device or interface driver</t>
  </si>
  <si>
    <t>Electronic data interchange</t>
  </si>
  <si>
    <t>Geographic or spatial information systems</t>
  </si>
  <si>
    <t>Graphics &amp; publishing tools or system</t>
  </si>
  <si>
    <t xml:space="preserve">Image, video or sound processing </t>
  </si>
  <si>
    <t>Software for machine control</t>
  </si>
  <si>
    <t>Job, case, incident or project management</t>
  </si>
  <si>
    <t>Logistic or supply planning &amp; control</t>
  </si>
  <si>
    <t>Management or performance reporting</t>
  </si>
  <si>
    <t>Network management</t>
  </si>
  <si>
    <t>Online analysis and reporting</t>
  </si>
  <si>
    <t>Operating system or software utility</t>
  </si>
  <si>
    <t>Personal productivity (e.g. word processor, spreadsheet)</t>
  </si>
  <si>
    <t xml:space="preserve">Process control </t>
  </si>
  <si>
    <t>Software development tool</t>
  </si>
  <si>
    <t>Stock control &amp; order processing</t>
  </si>
  <si>
    <t>Trading</t>
  </si>
  <si>
    <t>Workflow support &amp; management</t>
  </si>
  <si>
    <t xml:space="preserve">FP counting standard: </t>
  </si>
  <si>
    <t>Planning</t>
  </si>
  <si>
    <t>Specification</t>
  </si>
  <si>
    <t>Design</t>
  </si>
  <si>
    <t>Build</t>
  </si>
  <si>
    <t>Test</t>
  </si>
  <si>
    <t>Implementation</t>
  </si>
  <si>
    <t>Stage</t>
  </si>
  <si>
    <t>Reading &amp;/or mentoring</t>
  </si>
  <si>
    <t>Course from in-house trainer</t>
  </si>
  <si>
    <t>Course certified by FSM method’s certification body</t>
  </si>
  <si>
    <t>Other (specify):</t>
  </si>
  <si>
    <t>Counter</t>
  </si>
  <si>
    <t>What training had the function point counter under gone?</t>
  </si>
  <si>
    <t>Chemicals; Energy</t>
  </si>
  <si>
    <t>3D modeling or animation</t>
  </si>
  <si>
    <t>Human Resources</t>
  </si>
  <si>
    <t>Financial transaction processing &amp; accounting</t>
  </si>
  <si>
    <t>Mathematical modeling (finance or engineering)</t>
  </si>
  <si>
    <t>Course from specialized function point trainer</t>
  </si>
  <si>
    <t>Defence (aka Defense)</t>
  </si>
  <si>
    <t>Time Record</t>
  </si>
  <si>
    <t>SCU=The assessed application</t>
  </si>
  <si>
    <t>V. Simple</t>
  </si>
  <si>
    <t>Code Data</t>
  </si>
  <si>
    <t>Simple</t>
  </si>
  <si>
    <t>Medium</t>
  </si>
  <si>
    <t>Change in Queries</t>
  </si>
  <si>
    <t>Complex</t>
  </si>
  <si>
    <t>Change in Queries and Views</t>
  </si>
  <si>
    <t>V. Complex</t>
  </si>
  <si>
    <t>Alter table and other impacted queries</t>
  </si>
  <si>
    <t>database technology</t>
  </si>
  <si>
    <t>Temporary Files only</t>
  </si>
  <si>
    <t>Programming Language</t>
  </si>
  <si>
    <t xml:space="preserve">Operating System </t>
  </si>
  <si>
    <t xml:space="preserve">Integrated Development Environment   </t>
  </si>
  <si>
    <t>Environment</t>
  </si>
  <si>
    <t>Debugging</t>
  </si>
  <si>
    <t>Database</t>
  </si>
  <si>
    <t>Object/Component Server</t>
  </si>
  <si>
    <t>HTML/Web Server</t>
  </si>
  <si>
    <t>E-Mail or Message Server</t>
  </si>
  <si>
    <t>Primary Technology</t>
  </si>
  <si>
    <t>Specify if addendum to standard:</t>
  </si>
  <si>
    <t>Help Methods</t>
  </si>
  <si>
    <t>Data Entry Validation SNAP Count</t>
  </si>
  <si>
    <t>Logical and Mathematical
Operations SNAP Count</t>
  </si>
  <si>
    <t>Data Formatting SNAP Count</t>
  </si>
  <si>
    <t>Internal Data Movements SNAP Count</t>
  </si>
  <si>
    <t>Delivering Functionality by Data Configuration SNAP Count</t>
  </si>
  <si>
    <t>UI Changes SNAP Count</t>
  </si>
  <si>
    <t>Help Methods SNAP Count</t>
  </si>
  <si>
    <t>Multiple Input Methods SNAP Count</t>
  </si>
  <si>
    <t>SNAP Count</t>
  </si>
  <si>
    <t>Total SNAP Points</t>
  </si>
  <si>
    <t>Logical and Mathematical Operations</t>
  </si>
  <si>
    <t>Database Technology SNAP Points</t>
  </si>
  <si>
    <t>Multiple Platforms SNAP Points</t>
  </si>
  <si>
    <t>Multiple Output Methods SNAP Points</t>
  </si>
  <si>
    <t>Component Based Software</t>
  </si>
  <si>
    <t>Component-based Software SNAP Points</t>
  </si>
  <si>
    <t>Totals</t>
  </si>
  <si>
    <t>Category 1.  Data Operations</t>
  </si>
  <si>
    <t>Category 2.  Interface Design</t>
  </si>
  <si>
    <t>Category 3.  Technical Environment</t>
  </si>
  <si>
    <t>Category 4.  Architecture</t>
  </si>
  <si>
    <t>SNAP Category and Subcategory Recap</t>
  </si>
  <si>
    <t>Total SNAP Effort</t>
  </si>
  <si>
    <t>1.1  Data Entry Validation</t>
  </si>
  <si>
    <t>1.2  Logical and Mathematical
Operations</t>
  </si>
  <si>
    <t>1.3  Data Formatting</t>
  </si>
  <si>
    <t>1.4  Internal Data Movements</t>
  </si>
  <si>
    <t>Complexity Level (L, A, H)</t>
  </si>
  <si>
    <t>Number of DETs</t>
  </si>
  <si>
    <t>1.5  Delivering Added Value to Users by Data Configuration</t>
  </si>
  <si>
    <t>2.1  UI Changes</t>
  </si>
  <si>
    <t>Number of Unique UI Elements</t>
  </si>
  <si>
    <t>2.2  Help Methods</t>
  </si>
  <si>
    <t>2.3  Multiple Input Methods</t>
  </si>
  <si>
    <t>2.4  Multiple Output Methods</t>
  </si>
  <si>
    <t>3.1  Multiple Platforms</t>
  </si>
  <si>
    <t>3.2  Database Technology</t>
  </si>
  <si>
    <t>Number of Changes</t>
  </si>
  <si>
    <t>Category 4:  Architecture</t>
  </si>
  <si>
    <t>Category 3:  Technical Environment</t>
  </si>
  <si>
    <t>Category 2:  Interface Design</t>
  </si>
  <si>
    <t>Category 1:  Data Operations</t>
  </si>
  <si>
    <t>SNAP COUNTING WORKSHEET</t>
  </si>
  <si>
    <t>RECAP</t>
  </si>
  <si>
    <t>Data Operations Effort in Person-Hours</t>
  </si>
  <si>
    <t>Interface Design Effort in Person-Hours</t>
  </si>
  <si>
    <t>Technical Environment Effort in Person-Hours</t>
  </si>
  <si>
    <t>Architecture Effort in Person-Hours</t>
  </si>
  <si>
    <t>Effort in Person-Hours</t>
  </si>
  <si>
    <t>Microcode</t>
  </si>
  <si>
    <t>RealTime</t>
  </si>
  <si>
    <t>Avionic</t>
  </si>
  <si>
    <t>System</t>
  </si>
  <si>
    <t>C&amp;C</t>
  </si>
  <si>
    <t>Telecom</t>
  </si>
  <si>
    <t>Scientific</t>
  </si>
  <si>
    <t>Process Control</t>
  </si>
  <si>
    <t>Business</t>
  </si>
  <si>
    <t>Unknown</t>
  </si>
  <si>
    <t>Application Type</t>
  </si>
  <si>
    <t>Programming Languages</t>
  </si>
  <si>
    <t>Primary</t>
  </si>
  <si>
    <t>Secondary</t>
  </si>
  <si>
    <t>Unadjusted function point:</t>
  </si>
  <si>
    <t>Adjusted function point:</t>
  </si>
  <si>
    <t>BASIC INSTRUCTIONS FOR SNAP COUNTERS</t>
  </si>
  <si>
    <t>Please use a separate spreadsheet file for each application boundary counted.  Please do not enter more than one application in each file.</t>
  </si>
  <si>
    <t>What type of project count is being conducted?</t>
  </si>
  <si>
    <t>Was it used for the entire application?</t>
  </si>
  <si>
    <t>Number of nesting levels</t>
  </si>
  <si>
    <t>1.2 Subcategory</t>
  </si>
  <si>
    <t>Main intent:</t>
  </si>
  <si>
    <t>Logical</t>
  </si>
  <si>
    <t>Mathematical</t>
  </si>
  <si>
    <t>Number of RETs</t>
  </si>
  <si>
    <t>Transformation Complexity Level (L, A, H)</t>
  </si>
  <si>
    <t>Low</t>
  </si>
  <si>
    <t>Average</t>
  </si>
  <si>
    <t>High</t>
  </si>
  <si>
    <t>1.3 Subcategory</t>
  </si>
  <si>
    <t>Number of FTRs</t>
  </si>
  <si>
    <t>Complexity Level</t>
  </si>
  <si>
    <t xml:space="preserve">SCU=The assessed application </t>
  </si>
  <si>
    <t>Software Platform</t>
  </si>
  <si>
    <t>Hardware Platform</t>
  </si>
  <si>
    <t>3.3  Batch Processes</t>
  </si>
  <si>
    <t>SCU=The batch job</t>
  </si>
  <si>
    <t>Batch Processes SNAP Points</t>
  </si>
  <si>
    <t>Multiple Input / Output Interfaces SNAP Count</t>
  </si>
  <si>
    <t>Password:SNAPversion20</t>
  </si>
  <si>
    <t>Batch Processes</t>
  </si>
  <si>
    <t>Name:</t>
  </si>
  <si>
    <t>Number of Attributes</t>
  </si>
  <si>
    <t>Comments</t>
  </si>
  <si>
    <t>Number of FTR</t>
  </si>
  <si>
    <t xml:space="preserve">Do not enter data in any column or cell that has red font; the numbers in these columns are calculated automatically.  </t>
  </si>
  <si>
    <t>New Development -- building a new software product in a context where the  customer has no existing product meeting their requirements.</t>
  </si>
  <si>
    <t>Re-development -- creating a software product with new technology that  replaces or enhances a product that customers currently use.</t>
  </si>
  <si>
    <t>Enhancement -- changing or extending the functionality of an existing product.</t>
  </si>
  <si>
    <t>Application name:</t>
  </si>
  <si>
    <t>Application development duration, months:</t>
  </si>
  <si>
    <t>Application implementation date:</t>
  </si>
  <si>
    <t>What was the primary technology used to build/enhance the software; i.e.,  that used for most of the build effort?</t>
  </si>
  <si>
    <t>Architecture:</t>
  </si>
  <si>
    <t xml:space="preserve">Data for the effort or people involved in the project: </t>
  </si>
  <si>
    <t>only if SNAP work effort can not be provided by category on the "SNAP Counting Sheet.")</t>
  </si>
  <si>
    <t>If so, what is the approximate margin of error (in percentage terms) on the work effort?</t>
  </si>
  <si>
    <t>Example (erase when starting the count)</t>
  </si>
  <si>
    <t>% of software created/enhanced:</t>
  </si>
  <si>
    <t>What type of software application is being produced or enhanced?</t>
  </si>
  <si>
    <t>Application description:</t>
  </si>
  <si>
    <t>SNAP  scope:</t>
  </si>
  <si>
    <t>SNAP  purpose:</t>
  </si>
  <si>
    <t>Elementary Process Type (Main Purpose)</t>
  </si>
  <si>
    <t>Number of Records</t>
  </si>
  <si>
    <t>Number of Properties (the sum of the number of unique properties) added or configured</t>
  </si>
  <si>
    <t>Number of Items Impacted</t>
  </si>
  <si>
    <t>Number of Input Methods</t>
  </si>
  <si>
    <t>Number of Output Methods</t>
  </si>
  <si>
    <t>Nature of Platforms (Software / Hardware)</t>
  </si>
  <si>
    <t>Numbers of Platforms to Operate</t>
  </si>
  <si>
    <t>Platform Type:  Same family, Different family, Real time,                Non-real time</t>
  </si>
  <si>
    <t>Number of Unique In-house Components</t>
  </si>
  <si>
    <t>Number of Unique Third Party Components</t>
  </si>
  <si>
    <t>Total # of Input Interfaces</t>
  </si>
  <si>
    <t>Total # of Output Interfaces</t>
  </si>
  <si>
    <t>How much effort was devoted to developing the function points (in person-hours)?</t>
  </si>
  <si>
    <t>Project personagement:</t>
  </si>
  <si>
    <t>How much effort was devoted to developing the SNAP points (in person-hours) for the application (enter data here</t>
  </si>
  <si>
    <t>This material is considered to be complementary to the IFPUG SNAP Assessment Practices personual and as such part of this personual.</t>
  </si>
  <si>
    <t>After which of the following activities was this function point count performed?</t>
  </si>
  <si>
    <t>%</t>
  </si>
  <si>
    <t>NOTE:  notional (example) information is entered into the first row of data in the "SNAP Counting Sheet."  This is for illustration purposes; delete this before starting.</t>
  </si>
  <si>
    <t>collected in terms of other units, please first convert these into person-hours according to what is applicable in your organization.</t>
  </si>
  <si>
    <t>Make sure that all data relates only to the application boundary being considered</t>
  </si>
  <si>
    <t>Is the SNAP work effort provided either here or on the "SNAP Counting Sheet" estimated?</t>
  </si>
  <si>
    <t>Only Insert / Add rows from the "SNAP Counting Sheet" using the buttons at the top left of the worksheet (make sure Excel macros are enabled).</t>
  </si>
  <si>
    <t>VAF</t>
  </si>
  <si>
    <t>Specify here</t>
  </si>
  <si>
    <t xml:space="preserve">Enter the work effort required to deliver the SNAP nonfunctionality.  Enter work effort in terms of "person-hours."  If you have effort </t>
  </si>
  <si>
    <t>In the "Application Information," use the following definitions for the type of project being counted.</t>
  </si>
  <si>
    <t>SCU Action (Add, Change, Delete)</t>
  </si>
  <si>
    <t>ADD</t>
  </si>
  <si>
    <t>Total</t>
  </si>
  <si>
    <t>Add</t>
  </si>
  <si>
    <t>Change</t>
  </si>
  <si>
    <t>Delete</t>
  </si>
  <si>
    <t>Total for "New"</t>
  </si>
  <si>
    <t>Total for "Change"</t>
  </si>
  <si>
    <t>Total for "Delete"</t>
  </si>
  <si>
    <t>Collect SNAP points at the application boundary level, and report the work effort to build those SNAP points corresponding to the same application boundary.  This is the application boundary as defined under function points.</t>
  </si>
  <si>
    <t>Enter the work effort for each category as indicated on the "SNAP Counting Sheet."  For example, enter the work effort required for Category 1 in column W.  If you are not able to enter work effort by category, then enter the total work effort in the "Application Metrics" section of the "Application Information" worksheet.</t>
  </si>
  <si>
    <t xml:space="preserve">If the work effort you report either here, or on the "SNAP Counting Sheet," is estimated rather than being exact numbers, then indicate this in the "Application Metrics" section of the "Application Information" worksheet. </t>
  </si>
  <si>
    <t>If your work effort is estimated, provide an idea of the estimate's margin of error, in percentage points.  For example, if the work effort reported here is believed accurate to within approximately 15% of the actual man-hours expended, enter "15%."  Enter this in the "Application Metrics" section of the "Application Information" worksheet.</t>
  </si>
  <si>
    <t>Enter as much other information into the "Application Information" worksheet.  Note that many of the data fields are drop down boxes; click to the right of each field to check.</t>
  </si>
  <si>
    <t>If you have function point data corresponding to your SNAP count application, then enter the function point count and the GSC total (if used) in the "Application Information" worksheet, "Functional Size Information (Optional!)" section.  Function point counts with GSC's are encouraged but are optional.</t>
  </si>
  <si>
    <t>nfssc@ifpug.com</t>
  </si>
  <si>
    <t>Mail to:</t>
  </si>
  <si>
    <r>
      <rPr>
        <b/>
        <sz val="12"/>
        <color indexed="8"/>
        <rFont val="Calibri"/>
        <family val="2"/>
      </rPr>
      <t>Please scroll down this worksheet to read all basic instructions.</t>
    </r>
    <r>
      <rPr>
        <b/>
        <sz val="11"/>
        <color indexed="8"/>
        <rFont val="Calibri"/>
        <family val="2"/>
      </rPr>
      <t xml:space="preserve">
</t>
    </r>
    <r>
      <rPr>
        <b/>
        <sz val="14"/>
        <color indexed="10"/>
        <rFont val="Calibri"/>
        <family val="2"/>
      </rPr>
      <t>You can modify this tool by writing to NFSSC@IFPUG.COM: 
IFPUG/NFSSC will provide you with the password to unprotect the spreadsheets. You are welcome to send your changes to IFPUG / NFSSC so that other users may benefit from your improvements.</t>
    </r>
  </si>
  <si>
    <t xml:space="preserve">
SCU Description / ID     </t>
  </si>
  <si>
    <t>Nesting</t>
  </si>
  <si>
    <t>6+</t>
  </si>
  <si>
    <t>1 to 2</t>
  </si>
  <si>
    <t>3 to 5</t>
  </si>
  <si>
    <t>FTR_Validation</t>
  </si>
  <si>
    <t>0 to 3</t>
  </si>
  <si>
    <t>4 to 9</t>
  </si>
  <si>
    <t>10+</t>
  </si>
  <si>
    <t>1 to 3</t>
  </si>
  <si>
    <t>FTR_1.4</t>
  </si>
  <si>
    <t>Records_1.5</t>
  </si>
  <si>
    <t>1 to 10</t>
  </si>
  <si>
    <t>11 to 29</t>
  </si>
  <si>
    <t>30+</t>
  </si>
  <si>
    <t>Properties_2.1</t>
  </si>
  <si>
    <t>1 to 9</t>
  </si>
  <si>
    <t>10 to 15</t>
  </si>
  <si>
    <t>16+</t>
  </si>
  <si>
    <t>4.1  Component Based Software</t>
  </si>
  <si>
    <t>4.2  Multiple Input / Output Interfaces</t>
  </si>
  <si>
    <t>DETs_2.3</t>
  </si>
  <si>
    <t>1 to 4</t>
  </si>
  <si>
    <t>5 to 15</t>
  </si>
  <si>
    <t>DETs_2.4</t>
  </si>
  <si>
    <t>1 to 5</t>
  </si>
  <si>
    <t>6 to 19</t>
  </si>
  <si>
    <t>20+</t>
  </si>
  <si>
    <t>DETs_3.2</t>
  </si>
  <si>
    <t>1 to 19</t>
  </si>
  <si>
    <t>51+</t>
  </si>
  <si>
    <t>20 to 50</t>
  </si>
  <si>
    <t>RETs_3.2</t>
  </si>
  <si>
    <t>2 to 5</t>
  </si>
  <si>
    <t>FTRs_3.3</t>
  </si>
  <si>
    <t>DETs_4.2</t>
  </si>
  <si>
    <t>DETs</t>
  </si>
  <si>
    <t>RETs</t>
  </si>
  <si>
    <t>Different family</t>
  </si>
  <si>
    <t>Yes</t>
  </si>
  <si>
    <t>No</t>
  </si>
  <si>
    <t>Delivering Added Value to Users by Data Configuration</t>
  </si>
  <si>
    <t>Screenshot(s)  added?</t>
  </si>
  <si>
    <t xml:space="preserve">© 2017 IFPUG. All Rights Reserved. International Function Point Users Group, 2010. </t>
  </si>
  <si>
    <t xml:space="preserve">Sub-Category: </t>
  </si>
  <si>
    <t xml:space="preserve">SCU Definition: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</si>
</sst>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
  </numFmts>
  <fonts count="35" x14ac:knownFonts="1">
    <font>
      <sz val="11"/>
      <color theme="1"/>
      <name val="Calibri"/>
      <family val="2"/>
      <scheme val="minor"/>
    </font>
    <font>
      <sz val="10"/>
      <name val="Verdana"/>
      <family val="2"/>
    </font>
    <font>
      <b/>
      <sz val="8"/>
      <color indexed="81"/>
      <name val="Tahoma"/>
      <family val="2"/>
    </font>
    <font>
      <sz val="8"/>
      <color indexed="81"/>
      <name val="Tahoma"/>
      <family val="2"/>
    </font>
    <font>
      <b/>
      <sz val="11"/>
      <color indexed="8"/>
      <name val="Calibri"/>
      <family val="2"/>
    </font>
    <font>
      <b/>
      <sz val="10"/>
      <name val="Trebuchet MS"/>
      <family val="2"/>
    </font>
    <font>
      <sz val="9"/>
      <color indexed="81"/>
      <name val="Tahoma"/>
      <family val="2"/>
    </font>
    <font>
      <sz val="8"/>
      <name val="Times New Roman"/>
      <family val="1"/>
    </font>
    <font>
      <i/>
      <sz val="8"/>
      <name val="Times New Roman"/>
      <family val="1"/>
    </font>
    <font>
      <b/>
      <sz val="8"/>
      <name val="Times New Roman"/>
      <family val="1"/>
    </font>
    <font>
      <b/>
      <sz val="12"/>
      <color indexed="8"/>
      <name val="Calibri"/>
      <family val="2"/>
    </font>
    <font>
      <b/>
      <sz val="12"/>
      <color indexed="9"/>
      <name val="Trebuchet MS"/>
      <family val="2"/>
    </font>
    <font>
      <sz val="11"/>
      <color indexed="8"/>
      <name val="Calibri"/>
      <family val="2"/>
    </font>
    <font>
      <b/>
      <sz val="14"/>
      <color indexed="10"/>
      <name val="Calibri"/>
      <family val="2"/>
    </font>
    <font>
      <sz val="11"/>
      <color theme="1"/>
      <name val="Calibri"/>
      <family val="2"/>
      <scheme val="minor"/>
    </font>
    <font>
      <u/>
      <sz val="11"/>
      <color theme="10"/>
      <name val="Calibri"/>
      <family val="2"/>
      <scheme val="minor"/>
    </font>
    <font>
      <sz val="10"/>
      <color theme="1"/>
      <name val="Trebuchet MS"/>
      <family val="2"/>
    </font>
    <font>
      <sz val="10"/>
      <color rgb="FFFF0000"/>
      <name val="Trebuchet MS"/>
      <family val="2"/>
    </font>
    <font>
      <b/>
      <sz val="11"/>
      <color theme="1"/>
      <name val="Calibri"/>
      <family val="2"/>
      <scheme val="minor"/>
    </font>
    <font>
      <sz val="11"/>
      <color theme="0"/>
      <name val="Calibri"/>
      <family val="2"/>
      <scheme val="minor"/>
    </font>
    <font>
      <sz val="10"/>
      <color rgb="FF000000"/>
      <name val="Garamond"/>
      <family val="1"/>
    </font>
    <font>
      <sz val="11"/>
      <color rgb="FFFF0000"/>
      <name val="Calibri"/>
      <family val="2"/>
      <scheme val="minor"/>
    </font>
    <font>
      <b/>
      <sz val="11"/>
      <color rgb="FFFF0000"/>
      <name val="Calibri"/>
      <family val="2"/>
      <scheme val="minor"/>
    </font>
    <font>
      <sz val="11"/>
      <name val="Calibri"/>
      <family val="2"/>
      <scheme val="minor"/>
    </font>
    <font>
      <sz val="11"/>
      <color theme="0" tint="-0.249977111117893"/>
      <name val="Calibri"/>
      <family val="2"/>
      <scheme val="minor"/>
    </font>
    <font>
      <b/>
      <sz val="10"/>
      <name val="Calibri"/>
      <family val="2"/>
      <scheme val="minor"/>
    </font>
    <font>
      <sz val="10"/>
      <name val="Calibri"/>
      <family val="2"/>
      <scheme val="minor"/>
    </font>
    <font>
      <b/>
      <sz val="10"/>
      <color rgb="FFFF0000"/>
      <name val="Calibri"/>
      <family val="2"/>
      <scheme val="minor"/>
    </font>
    <font>
      <sz val="10"/>
      <color rgb="FFFF0000"/>
      <name val="Calibri"/>
      <family val="2"/>
      <scheme val="minor"/>
    </font>
    <font>
      <sz val="12"/>
      <color theme="1"/>
      <name val="Times New Roman"/>
      <family val="1"/>
    </font>
    <font>
      <sz val="14"/>
      <color theme="1"/>
      <name val="Calibri"/>
      <family val="2"/>
      <scheme val="minor"/>
    </font>
    <font>
      <u/>
      <sz val="14"/>
      <color theme="10"/>
      <name val="Calibri"/>
      <family val="2"/>
      <scheme val="minor"/>
    </font>
    <font>
      <b/>
      <sz val="12"/>
      <color theme="1"/>
      <name val="Times New Roman"/>
      <family val="1"/>
    </font>
    <font>
      <b/>
      <sz val="14"/>
      <color theme="1"/>
      <name val="Calibri"/>
      <family val="2"/>
      <scheme val="minor"/>
    </font>
    <font>
      <b/>
      <u/>
      <sz val="16"/>
      <color theme="1"/>
      <name val="Calibri"/>
      <family val="2"/>
      <scheme val="minor"/>
    </font>
  </fonts>
  <fills count="21">
    <fill>
      <patternFill patternType="none"/>
    </fill>
    <fill>
      <patternFill patternType="gray125"/>
    </fill>
    <fill>
      <patternFill patternType="solid">
        <fgColor indexed="11"/>
        <bgColor indexed="64"/>
      </patternFill>
    </fill>
    <fill>
      <patternFill patternType="solid">
        <fgColor indexed="31"/>
        <bgColor indexed="64"/>
      </patternFill>
    </fill>
    <fill>
      <patternFill patternType="solid">
        <fgColor indexed="56"/>
        <bgColor indexed="64"/>
      </patternFill>
    </fill>
    <fill>
      <patternFill patternType="solid">
        <fgColor theme="0" tint="-4.9989318521683403E-2"/>
        <bgColor indexed="64"/>
      </patternFill>
    </fill>
    <fill>
      <patternFill patternType="solid">
        <fgColor theme="0"/>
        <bgColor indexed="64"/>
      </patternFill>
    </fill>
    <fill>
      <patternFill patternType="solid">
        <fgColor theme="6" tint="0.3999755851924192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1"/>
        <bgColor indexed="64"/>
      </patternFill>
    </fill>
    <fill>
      <patternFill patternType="solid">
        <fgColor theme="3" tint="0.59999389629810485"/>
        <bgColor indexed="64"/>
      </patternFill>
    </fill>
    <fill>
      <patternFill patternType="solid">
        <fgColor rgb="FFCCCCFF"/>
        <bgColor indexed="64"/>
      </patternFill>
    </fill>
    <fill>
      <gradientFill>
        <stop position="0">
          <color theme="0" tint="-0.25098422193060094"/>
        </stop>
        <stop position="0.5">
          <color theme="0"/>
        </stop>
        <stop position="1">
          <color theme="0" tint="-0.25098422193060094"/>
        </stop>
      </gradientFill>
    </fill>
    <fill>
      <gradientFill>
        <stop position="0">
          <color theme="0"/>
        </stop>
        <stop position="1">
          <color theme="0" tint="-0.1490218817712943"/>
        </stop>
      </gradientFill>
    </fill>
    <fill>
      <gradientFill type="path" left="0.5" right="0.5" top="0.5" bottom="0.5">
        <stop position="0">
          <color theme="6" tint="0.80001220740379042"/>
        </stop>
        <stop position="1">
          <color theme="6" tint="0.40000610370189521"/>
        </stop>
      </gradientFill>
    </fill>
    <fill>
      <patternFill patternType="solid">
        <fgColor theme="0" tint="-0.249977111117893"/>
        <bgColor indexed="64"/>
      </patternFill>
    </fill>
    <fill>
      <patternFill patternType="solid">
        <fgColor rgb="FF92D050"/>
        <bgColor indexed="64"/>
      </patternFill>
    </fill>
    <fill>
      <patternFill patternType="solid">
        <fgColor rgb="FFCCFFCC"/>
        <bgColor indexed="64"/>
      </patternFill>
    </fill>
    <fill>
      <patternFill patternType="solid">
        <fgColor theme="6" tint="0.39994506668294322"/>
        <bgColor indexed="64"/>
      </patternFill>
    </fill>
  </fills>
  <borders count="2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9"/>
      </left>
      <right style="thin">
        <color indexed="9"/>
      </right>
      <top style="thin">
        <color indexed="9"/>
      </top>
      <bottom style="thin">
        <color indexed="9"/>
      </bottom>
      <diagonal/>
    </border>
    <border>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right style="thin">
        <color indexed="9"/>
      </right>
      <top/>
      <bottom/>
      <diagonal/>
    </border>
    <border>
      <left/>
      <right/>
      <top style="thin">
        <color indexed="9"/>
      </top>
      <bottom style="thin">
        <color indexed="9"/>
      </bottom>
      <diagonal/>
    </border>
    <border>
      <left style="thin">
        <color indexed="9"/>
      </left>
      <right style="thin">
        <color indexed="9"/>
      </right>
      <top/>
      <bottom/>
      <diagonal/>
    </border>
    <border>
      <left style="thin">
        <color indexed="9"/>
      </left>
      <right/>
      <top/>
      <bottom style="thin">
        <color indexed="9"/>
      </bottom>
      <diagonal/>
    </border>
    <border>
      <left style="thin">
        <color indexed="9"/>
      </left>
      <right style="thin">
        <color indexed="9"/>
      </right>
      <top/>
      <bottom style="thin">
        <color indexed="9"/>
      </bottom>
      <diagonal/>
    </border>
    <border>
      <left style="thin">
        <color indexed="9"/>
      </left>
      <right/>
      <top style="thin">
        <color indexed="9"/>
      </top>
      <bottom style="thin">
        <color indexed="9"/>
      </bottom>
      <diagonal/>
    </border>
    <border>
      <left style="thin">
        <color indexed="9"/>
      </left>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diagonal/>
    </border>
    <border>
      <left/>
      <right style="thin">
        <color indexed="64"/>
      </right>
      <top style="thin">
        <color indexed="9"/>
      </top>
      <bottom style="thin">
        <color indexed="9"/>
      </bottom>
      <diagonal/>
    </border>
    <border>
      <left/>
      <right/>
      <top style="thin">
        <color indexed="9"/>
      </top>
      <bottom/>
      <diagonal/>
    </border>
    <border>
      <left style="thin">
        <color indexed="44"/>
      </left>
      <right style="thin">
        <color indexed="27"/>
      </right>
      <top style="thin">
        <color indexed="44"/>
      </top>
      <bottom/>
      <diagonal/>
    </border>
    <border>
      <left style="thin">
        <color indexed="9"/>
      </left>
      <right style="thin">
        <color indexed="9"/>
      </right>
      <top style="thin">
        <color indexed="27"/>
      </top>
      <bottom style="thin">
        <color indexed="44"/>
      </bottom>
      <diagonal/>
    </border>
    <border>
      <left style="thin">
        <color indexed="9"/>
      </left>
      <right style="thin">
        <color indexed="9"/>
      </right>
      <top style="thin">
        <color indexed="27"/>
      </top>
      <bottom style="thin">
        <color indexed="9"/>
      </bottom>
      <diagonal/>
    </border>
    <border>
      <left style="thin">
        <color indexed="27"/>
      </left>
      <right style="thin">
        <color indexed="9"/>
      </right>
      <top style="thin">
        <color indexed="9"/>
      </top>
      <bottom style="thin">
        <color indexed="9"/>
      </bottom>
      <diagonal/>
    </border>
    <border>
      <left style="thin">
        <color indexed="9"/>
      </left>
      <right style="thin">
        <color indexed="9"/>
      </right>
      <top style="thin">
        <color indexed="27"/>
      </top>
      <bottom/>
      <diagonal/>
    </border>
    <border>
      <left style="thin">
        <color indexed="44"/>
      </left>
      <right style="thin">
        <color indexed="27"/>
      </right>
      <top style="thin">
        <color indexed="44"/>
      </top>
      <bottom style="thin">
        <color indexed="27"/>
      </bottom>
      <diagonal/>
    </border>
    <border>
      <left style="thin">
        <color indexed="44"/>
      </left>
      <right/>
      <top style="thin">
        <color indexed="44"/>
      </top>
      <bottom style="thin">
        <color indexed="27"/>
      </bottom>
      <diagonal/>
    </border>
    <border>
      <left/>
      <right style="thin">
        <color indexed="9"/>
      </right>
      <top style="thin">
        <color indexed="9"/>
      </top>
      <bottom style="thin">
        <color indexed="4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9"/>
      </right>
      <top style="thin">
        <color indexed="9"/>
      </top>
      <bottom/>
      <diagonal/>
    </border>
    <border>
      <left/>
      <right style="medium">
        <color indexed="9"/>
      </right>
      <top style="thin">
        <color indexed="9"/>
      </top>
      <bottom style="thin">
        <color indexed="9"/>
      </bottom>
      <diagonal/>
    </border>
    <border>
      <left/>
      <right style="thin">
        <color indexed="9"/>
      </right>
      <top style="medium">
        <color indexed="9"/>
      </top>
      <bottom style="medium">
        <color indexed="31"/>
      </bottom>
      <diagonal/>
    </border>
    <border>
      <left style="thin">
        <color indexed="9"/>
      </left>
      <right/>
      <top/>
      <bottom style="medium">
        <color indexed="31"/>
      </bottom>
      <diagonal/>
    </border>
    <border>
      <left style="thin">
        <color indexed="9"/>
      </left>
      <right style="thin">
        <color indexed="9"/>
      </right>
      <top/>
      <bottom style="medium">
        <color indexed="31"/>
      </bottom>
      <diagonal/>
    </border>
    <border>
      <left/>
      <right/>
      <top style="thin">
        <color indexed="9"/>
      </top>
      <bottom style="medium">
        <color indexed="9"/>
      </bottom>
      <diagonal/>
    </border>
    <border>
      <left style="thin">
        <color indexed="27"/>
      </left>
      <right/>
      <top style="thin">
        <color indexed="9"/>
      </top>
      <bottom style="thin">
        <color indexed="9"/>
      </bottom>
      <diagonal/>
    </border>
    <border>
      <left style="thin">
        <color indexed="9"/>
      </left>
      <right/>
      <top style="medium">
        <color indexed="9"/>
      </top>
      <bottom style="medium">
        <color indexed="31"/>
      </bottom>
      <diagonal/>
    </border>
    <border>
      <left/>
      <right/>
      <top style="medium">
        <color indexed="64"/>
      </top>
      <bottom/>
      <diagonal/>
    </border>
    <border>
      <left style="medium">
        <color indexed="9"/>
      </left>
      <right style="thin">
        <color indexed="9"/>
      </right>
      <top/>
      <bottom/>
      <diagonal/>
    </border>
    <border>
      <left style="thin">
        <color indexed="64"/>
      </left>
      <right/>
      <top/>
      <bottom style="thin">
        <color indexed="9"/>
      </bottom>
      <diagonal/>
    </border>
    <border>
      <left style="thin">
        <color indexed="9"/>
      </left>
      <right style="thin">
        <color indexed="64"/>
      </right>
      <top/>
      <bottom style="thin">
        <color indexed="9"/>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9"/>
      </bottom>
      <diagonal/>
    </border>
    <border>
      <left style="thin">
        <color indexed="64"/>
      </left>
      <right style="thin">
        <color indexed="9"/>
      </right>
      <top/>
      <bottom style="thin">
        <color indexed="64"/>
      </bottom>
      <diagonal/>
    </border>
    <border>
      <left/>
      <right style="thin">
        <color indexed="9"/>
      </right>
      <top/>
      <bottom style="thin">
        <color indexed="64"/>
      </bottom>
      <diagonal/>
    </border>
    <border>
      <left style="thin">
        <color indexed="9"/>
      </left>
      <right style="thin">
        <color indexed="64"/>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44"/>
      </top>
      <bottom style="thin">
        <color indexed="27"/>
      </bottom>
      <diagonal/>
    </border>
    <border>
      <left/>
      <right/>
      <top style="medium">
        <color indexed="31"/>
      </top>
      <bottom/>
      <diagonal/>
    </border>
    <border>
      <left style="thin">
        <color indexed="44"/>
      </left>
      <right/>
      <top style="thin">
        <color indexed="44"/>
      </top>
      <bottom/>
      <diagonal/>
    </border>
    <border>
      <left/>
      <right/>
      <top style="thin">
        <color indexed="44"/>
      </top>
      <bottom/>
      <diagonal/>
    </border>
    <border>
      <left/>
      <right style="thin">
        <color indexed="27"/>
      </right>
      <top style="thin">
        <color indexed="44"/>
      </top>
      <bottom/>
      <diagonal/>
    </border>
    <border>
      <left style="thin">
        <color indexed="44"/>
      </left>
      <right/>
      <top style="thin">
        <color indexed="44"/>
      </top>
      <bottom style="thin">
        <color indexed="9"/>
      </bottom>
      <diagonal/>
    </border>
    <border>
      <left/>
      <right/>
      <top style="thin">
        <color indexed="44"/>
      </top>
      <bottom style="thin">
        <color indexed="9"/>
      </bottom>
      <diagonal/>
    </border>
    <border>
      <left/>
      <right/>
      <top style="thin">
        <color indexed="64"/>
      </top>
      <bottom style="thin">
        <color indexed="64"/>
      </bottom>
      <diagonal/>
    </border>
    <border>
      <left style="thin">
        <color indexed="44"/>
      </left>
      <right/>
      <top/>
      <bottom/>
      <diagonal/>
    </border>
    <border>
      <left/>
      <right style="thin">
        <color indexed="27"/>
      </right>
      <top/>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right style="thin">
        <color theme="0"/>
      </right>
      <top/>
      <bottom style="thin">
        <color theme="0"/>
      </bottom>
      <diagonal/>
    </border>
    <border>
      <left/>
      <right style="thin">
        <color theme="0"/>
      </right>
      <top style="thin">
        <color theme="0"/>
      </top>
      <bottom style="thin">
        <color theme="0"/>
      </bottom>
      <diagonal/>
    </border>
    <border>
      <left/>
      <right style="thin">
        <color theme="0"/>
      </right>
      <top/>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style="thin">
        <color indexed="64"/>
      </top>
      <bottom/>
      <diagonal/>
    </border>
    <border>
      <left/>
      <right style="thin">
        <color indexed="64"/>
      </right>
      <top style="thin">
        <color theme="0"/>
      </top>
      <bottom style="thin">
        <color theme="0"/>
      </bottom>
      <diagonal/>
    </border>
    <border>
      <left/>
      <right/>
      <top style="thin">
        <color theme="0"/>
      </top>
      <bottom/>
      <diagonal/>
    </border>
    <border>
      <left style="thin">
        <color theme="0"/>
      </left>
      <right style="thin">
        <color theme="0"/>
      </right>
      <top style="thin">
        <color indexed="64"/>
      </top>
      <bottom/>
      <diagonal/>
    </border>
    <border>
      <left style="thin">
        <color indexed="64"/>
      </left>
      <right/>
      <top style="thin">
        <color theme="0"/>
      </top>
      <bottom style="thin">
        <color theme="0"/>
      </bottom>
      <diagonal/>
    </border>
    <border>
      <left/>
      <right style="thin">
        <color indexed="64"/>
      </right>
      <top style="thin">
        <color theme="0"/>
      </top>
      <bottom/>
      <diagonal/>
    </border>
    <border>
      <left style="thin">
        <color theme="0"/>
      </left>
      <right style="thin">
        <color theme="0"/>
      </right>
      <top style="thin">
        <color theme="0"/>
      </top>
      <bottom style="thin">
        <color theme="3" tint="0.79998168889431442"/>
      </bottom>
      <diagonal/>
    </border>
    <border>
      <left/>
      <right style="thin">
        <color theme="3" tint="0.79998168889431442"/>
      </right>
      <top style="thin">
        <color theme="3" tint="0.79998168889431442"/>
      </top>
      <bottom/>
      <diagonal/>
    </border>
    <border>
      <left style="thin">
        <color theme="3" tint="0.79998168889431442"/>
      </left>
      <right style="thin">
        <color theme="3" tint="0.79998168889431442"/>
      </right>
      <top style="thin">
        <color theme="0"/>
      </top>
      <bottom style="thin">
        <color theme="0"/>
      </bottom>
      <diagonal/>
    </border>
    <border>
      <left style="thin">
        <color theme="3" tint="0.79998168889431442"/>
      </left>
      <right style="thin">
        <color theme="3" tint="0.79998168889431442"/>
      </right>
      <top style="thin">
        <color theme="3" tint="0.79998168889431442"/>
      </top>
      <bottom/>
      <diagonal/>
    </border>
    <border>
      <left/>
      <right style="thin">
        <color theme="3" tint="0.79998168889431442"/>
      </right>
      <top/>
      <bottom/>
      <diagonal/>
    </border>
    <border>
      <left/>
      <right style="medium">
        <color rgb="FF000000"/>
      </right>
      <top style="thick">
        <color rgb="FF000000"/>
      </top>
      <bottom/>
      <diagonal/>
    </border>
    <border>
      <left/>
      <right/>
      <top style="thick">
        <color rgb="FF000000"/>
      </top>
      <bottom/>
      <diagonal/>
    </border>
    <border>
      <left/>
      <right style="medium">
        <color rgb="FF000000"/>
      </right>
      <top/>
      <bottom/>
      <diagonal/>
    </border>
    <border>
      <left/>
      <right style="medium">
        <color rgb="FF000000"/>
      </right>
      <top/>
      <bottom style="thick">
        <color rgb="FF000000"/>
      </bottom>
      <diagonal/>
    </border>
    <border>
      <left/>
      <right/>
      <top/>
      <bottom style="thick">
        <color rgb="FF000000"/>
      </bottom>
      <diagonal/>
    </border>
    <border>
      <left style="thin">
        <color theme="0"/>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bottom style="thin">
        <color theme="0" tint="-0.14993743705557422"/>
      </bottom>
      <diagonal/>
    </border>
    <border>
      <left style="medium">
        <color indexed="64"/>
      </left>
      <right/>
      <top/>
      <bottom style="thin">
        <color theme="0" tint="-0.14993743705557422"/>
      </bottom>
      <diagonal/>
    </border>
    <border>
      <left/>
      <right/>
      <top style="thin">
        <color theme="0" tint="-0.14993743705557422"/>
      </top>
      <bottom style="thin">
        <color theme="0" tint="-0.14993743705557422"/>
      </bottom>
      <diagonal/>
    </border>
    <border>
      <left style="medium">
        <color indexed="64"/>
      </left>
      <right/>
      <top style="thin">
        <color theme="0" tint="-0.14993743705557422"/>
      </top>
      <bottom style="thin">
        <color theme="0" tint="-0.14993743705557422"/>
      </bottom>
      <diagonal/>
    </border>
    <border>
      <left/>
      <right style="thin">
        <color indexed="64"/>
      </right>
      <top style="thin">
        <color theme="0"/>
      </top>
      <bottom style="thin">
        <color indexed="64"/>
      </bottom>
      <diagonal/>
    </border>
    <border>
      <left style="thin">
        <color theme="0"/>
      </left>
      <right style="thin">
        <color indexed="64"/>
      </right>
      <top/>
      <bottom style="thin">
        <color theme="0"/>
      </bottom>
      <diagonal/>
    </border>
    <border>
      <left style="thin">
        <color theme="0"/>
      </left>
      <right style="thin">
        <color indexed="64"/>
      </right>
      <top style="thin">
        <color indexed="64"/>
      </top>
      <bottom style="thin">
        <color theme="0"/>
      </bottom>
      <diagonal/>
    </border>
    <border>
      <left style="thin">
        <color indexed="64"/>
      </left>
      <right/>
      <top style="thin">
        <color theme="0"/>
      </top>
      <bottom/>
      <diagonal/>
    </border>
    <border>
      <left style="thin">
        <color indexed="64"/>
      </left>
      <right style="thin">
        <color theme="0"/>
      </right>
      <top style="thin">
        <color theme="0"/>
      </top>
      <bottom/>
      <diagonal/>
    </border>
    <border>
      <left style="thin">
        <color theme="0"/>
      </left>
      <right style="thin">
        <color indexed="64"/>
      </right>
      <top/>
      <bottom/>
      <diagonal/>
    </border>
    <border>
      <left style="thin">
        <color theme="0"/>
      </left>
      <right style="thin">
        <color indexed="64"/>
      </right>
      <top style="thin">
        <color theme="0"/>
      </top>
      <bottom/>
      <diagonal/>
    </border>
    <border>
      <left/>
      <right/>
      <top style="thin">
        <color theme="0"/>
      </top>
      <bottom style="thin">
        <color indexed="64"/>
      </bottom>
      <diagonal/>
    </border>
    <border>
      <left style="thin">
        <color theme="0"/>
      </left>
      <right style="thin">
        <color theme="0"/>
      </right>
      <top style="thin">
        <color indexed="64"/>
      </top>
      <bottom style="thin">
        <color theme="0"/>
      </bottom>
      <diagonal/>
    </border>
    <border>
      <left style="thin">
        <color indexed="64"/>
      </left>
      <right/>
      <top style="thin">
        <color theme="0"/>
      </top>
      <bottom style="thin">
        <color indexed="64"/>
      </bottom>
      <diagonal/>
    </border>
    <border>
      <left style="thin">
        <color indexed="64"/>
      </left>
      <right/>
      <top style="thin">
        <color indexed="64"/>
      </top>
      <bottom style="thin">
        <color theme="0"/>
      </bottom>
      <diagonal/>
    </border>
    <border>
      <left style="thin">
        <color theme="0"/>
      </left>
      <right/>
      <top style="thin">
        <color indexed="64"/>
      </top>
      <bottom/>
      <diagonal/>
    </border>
    <border>
      <left style="thin">
        <color theme="0"/>
      </left>
      <right/>
      <top style="thin">
        <color indexed="64"/>
      </top>
      <bottom style="thin">
        <color theme="0"/>
      </bottom>
      <diagonal/>
    </border>
    <border>
      <left style="thin">
        <color theme="0"/>
      </left>
      <right style="thin">
        <color indexed="64"/>
      </right>
      <top style="thin">
        <color theme="0"/>
      </top>
      <bottom style="thin">
        <color theme="0"/>
      </bottom>
      <diagonal/>
    </border>
    <border>
      <left style="thin">
        <color indexed="9"/>
      </left>
      <right style="thin">
        <color theme="0" tint="-0.14996795556505021"/>
      </right>
      <top style="thin">
        <color theme="0"/>
      </top>
      <bottom style="thin">
        <color theme="0"/>
      </bottom>
      <diagonal/>
    </border>
    <border>
      <left/>
      <right style="thin">
        <color theme="0"/>
      </right>
      <top/>
      <bottom style="thin">
        <color indexed="9"/>
      </bottom>
      <diagonal/>
    </border>
    <border>
      <left style="thin">
        <color theme="0"/>
      </left>
      <right style="thin">
        <color theme="0"/>
      </right>
      <top/>
      <bottom style="thin">
        <color indexed="9"/>
      </bottom>
      <diagonal/>
    </border>
    <border>
      <left style="thin">
        <color indexed="64"/>
      </left>
      <right style="thin">
        <color theme="0" tint="-0.14996795556505021"/>
      </right>
      <top style="thin">
        <color theme="0"/>
      </top>
      <bottom/>
      <diagonal/>
    </border>
    <border>
      <left style="thin">
        <color indexed="9"/>
      </left>
      <right style="thin">
        <color theme="0" tint="-0.14996795556505021"/>
      </right>
      <top style="thin">
        <color theme="0"/>
      </top>
      <bottom/>
      <diagonal/>
    </border>
    <border>
      <left style="thin">
        <color indexed="9"/>
      </left>
      <right style="thin">
        <color theme="0" tint="-0.14996795556505021"/>
      </right>
      <top style="thin">
        <color theme="0"/>
      </top>
      <bottom style="thin">
        <color indexed="9"/>
      </bottom>
      <diagonal/>
    </border>
    <border>
      <left/>
      <right/>
      <top style="thin">
        <color theme="0"/>
      </top>
      <bottom style="thin">
        <color indexed="9"/>
      </bottom>
      <diagonal/>
    </border>
    <border>
      <left style="thin">
        <color theme="0" tint="-0.14996795556505021"/>
      </left>
      <right style="thin">
        <color theme="0" tint="-0.14996795556505021"/>
      </right>
      <top style="thin">
        <color theme="0" tint="-0.14996795556505021"/>
      </top>
      <bottom/>
      <diagonal/>
    </border>
    <border>
      <left/>
      <right style="thin">
        <color theme="0" tint="-0.14996795556505021"/>
      </right>
      <top style="thin">
        <color theme="0"/>
      </top>
      <bottom style="thin">
        <color theme="0" tint="-0.14996795556505021"/>
      </bottom>
      <diagonal/>
    </border>
    <border>
      <left/>
      <right style="thin">
        <color theme="0"/>
      </right>
      <top/>
      <bottom style="thin">
        <color indexed="64"/>
      </bottom>
      <diagonal/>
    </border>
    <border>
      <left style="thin">
        <color theme="0" tint="-0.14996795556505021"/>
      </left>
      <right/>
      <top style="thin">
        <color theme="0" tint="-0.14996795556505021"/>
      </top>
      <bottom style="thin">
        <color theme="0" tint="-0.14996795556505021"/>
      </bottom>
      <diagonal/>
    </border>
    <border>
      <left style="thin">
        <color theme="6" tint="-0.249977111117893"/>
      </left>
      <right style="thin">
        <color theme="6" tint="-0.249977111117893"/>
      </right>
      <top style="thin">
        <color theme="0" tint="-0.14993743705557422"/>
      </top>
      <bottom style="thin">
        <color theme="0" tint="-0.14993743705557422"/>
      </bottom>
      <diagonal/>
    </border>
    <border>
      <left style="thin">
        <color theme="6" tint="-0.249977111117893"/>
      </left>
      <right style="thin">
        <color theme="6" tint="-0.249977111117893"/>
      </right>
      <top style="thin">
        <color theme="0" tint="-0.14993743705557422"/>
      </top>
      <bottom/>
      <diagonal/>
    </border>
    <border>
      <left style="thin">
        <color theme="6" tint="-0.249977111117893"/>
      </left>
      <right style="thin">
        <color theme="6" tint="-0.249977111117893"/>
      </right>
      <top/>
      <bottom/>
      <diagonal/>
    </border>
    <border>
      <left style="thin">
        <color theme="6" tint="-0.249977111117893"/>
      </left>
      <right style="thin">
        <color theme="6" tint="-0.249977111117893"/>
      </right>
      <top/>
      <bottom style="thin">
        <color theme="0" tint="-0.14993743705557422"/>
      </bottom>
      <diagonal/>
    </border>
    <border>
      <left/>
      <right style="thin">
        <color theme="6" tint="-0.249977111117893"/>
      </right>
      <top/>
      <bottom style="thin">
        <color theme="0" tint="-0.14993743705557422"/>
      </bottom>
      <diagonal/>
    </border>
    <border>
      <left/>
      <right style="thin">
        <color theme="6" tint="-0.249977111117893"/>
      </right>
      <top style="thin">
        <color theme="0" tint="-0.14993743705557422"/>
      </top>
      <bottom style="thin">
        <color theme="0" tint="-0.14993743705557422"/>
      </bottom>
      <diagonal/>
    </border>
    <border>
      <left/>
      <right style="thin">
        <color theme="6" tint="-0.249977111117893"/>
      </right>
      <top style="thin">
        <color theme="0" tint="-0.14993743705557422"/>
      </top>
      <bottom/>
      <diagonal/>
    </border>
    <border>
      <left/>
      <right style="thin">
        <color theme="6" tint="-0.249977111117893"/>
      </right>
      <top/>
      <bottom/>
      <diagonal/>
    </border>
    <border>
      <left style="thin">
        <color theme="6" tint="-0.249977111117893"/>
      </left>
      <right style="medium">
        <color theme="6" tint="-0.499984740745262"/>
      </right>
      <top/>
      <bottom/>
      <diagonal/>
    </border>
    <border>
      <left style="thin">
        <color theme="6" tint="-0.249977111117893"/>
      </left>
      <right style="medium">
        <color theme="6" tint="-0.499984740745262"/>
      </right>
      <top/>
      <bottom style="thin">
        <color theme="0" tint="-0.14993743705557422"/>
      </bottom>
      <diagonal/>
    </border>
    <border>
      <left style="thin">
        <color theme="6" tint="-0.249977111117893"/>
      </left>
      <right style="medium">
        <color theme="6" tint="-0.499984740745262"/>
      </right>
      <top style="thin">
        <color theme="0" tint="-0.14993743705557422"/>
      </top>
      <bottom style="thin">
        <color theme="0" tint="-0.14993743705557422"/>
      </bottom>
      <diagonal/>
    </border>
    <border>
      <left style="thin">
        <color theme="6" tint="-0.249977111117893"/>
      </left>
      <right style="medium">
        <color theme="6" tint="-0.499984740745262"/>
      </right>
      <top style="thin">
        <color theme="0" tint="-0.14993743705557422"/>
      </top>
      <bottom/>
      <diagonal/>
    </border>
    <border>
      <left/>
      <right/>
      <top/>
      <bottom style="medium">
        <color theme="6" tint="-0.499984740745262"/>
      </bottom>
      <diagonal/>
    </border>
    <border>
      <left/>
      <right style="thin">
        <color theme="6" tint="-0.249977111117893"/>
      </right>
      <top style="thin">
        <color theme="0" tint="-0.14996795556505021"/>
      </top>
      <bottom style="thin">
        <color theme="0" tint="-0.14993743705557422"/>
      </bottom>
      <diagonal/>
    </border>
    <border>
      <left/>
      <right/>
      <top style="medium">
        <color theme="6" tint="-0.499984740745262"/>
      </top>
      <bottom/>
      <diagonal/>
    </border>
    <border>
      <left style="thin">
        <color theme="6" tint="-0.249977111117893"/>
      </left>
      <right style="medium">
        <color theme="6" tint="-0.499984740745262"/>
      </right>
      <top style="thin">
        <color theme="0" tint="-0.14993743705557422"/>
      </top>
      <bottom style="medium">
        <color theme="6" tint="-0.499984740745262"/>
      </bottom>
      <diagonal/>
    </border>
    <border>
      <left style="thin">
        <color theme="6" tint="-0.249977111117893"/>
      </left>
      <right style="thin">
        <color theme="6" tint="-0.249977111117893"/>
      </right>
      <top style="thin">
        <color theme="0" tint="-0.14993743705557422"/>
      </top>
      <bottom style="medium">
        <color theme="6" tint="-0.499984740745262"/>
      </bottom>
      <diagonal/>
    </border>
    <border>
      <left/>
      <right style="thin">
        <color theme="6" tint="-0.249977111117893"/>
      </right>
      <top style="thin">
        <color theme="0" tint="-0.14993743705557422"/>
      </top>
      <bottom style="medium">
        <color theme="6" tint="-0.499984740745262"/>
      </bottom>
      <diagonal/>
    </border>
    <border>
      <left style="medium">
        <color theme="6" tint="-0.499984740745262"/>
      </left>
      <right style="thin">
        <color theme="6" tint="-0.249977111117893"/>
      </right>
      <top style="thin">
        <color theme="0" tint="-0.14993743705557422"/>
      </top>
      <bottom style="thin">
        <color theme="0" tint="-0.14993743705557422"/>
      </bottom>
      <diagonal/>
    </border>
    <border>
      <left style="medium">
        <color theme="6" tint="-0.499984740745262"/>
      </left>
      <right style="medium">
        <color theme="6" tint="-0.499984740745262"/>
      </right>
      <top/>
      <bottom style="thin">
        <color theme="0" tint="-0.14993743705557422"/>
      </bottom>
      <diagonal/>
    </border>
    <border>
      <left style="medium">
        <color theme="6" tint="-0.499984740745262"/>
      </left>
      <right style="medium">
        <color theme="6" tint="-0.499984740745262"/>
      </right>
      <top style="thin">
        <color theme="0" tint="-0.14993743705557422"/>
      </top>
      <bottom style="thin">
        <color theme="0" tint="-0.14993743705557422"/>
      </bottom>
      <diagonal/>
    </border>
    <border>
      <left style="medium">
        <color theme="6" tint="-0.499984740745262"/>
      </left>
      <right style="medium">
        <color theme="6" tint="-0.499984740745262"/>
      </right>
      <top style="thin">
        <color theme="0" tint="-0.14993743705557422"/>
      </top>
      <bottom/>
      <diagonal/>
    </border>
    <border>
      <left style="medium">
        <color theme="6" tint="-0.499984740745262"/>
      </left>
      <right style="medium">
        <color theme="6" tint="-0.499984740745262"/>
      </right>
      <top style="thin">
        <color theme="0" tint="-0.14993743705557422"/>
      </top>
      <bottom style="medium">
        <color theme="6" tint="-0.499984740745262"/>
      </bottom>
      <diagonal/>
    </border>
    <border>
      <left style="medium">
        <color theme="6" tint="-0.499984740745262"/>
      </left>
      <right style="thin">
        <color theme="6" tint="-0.249977111117893"/>
      </right>
      <top style="thin">
        <color theme="6" tint="-0.249977111117893"/>
      </top>
      <bottom style="thin">
        <color theme="0" tint="-0.14993743705557422"/>
      </bottom>
      <diagonal/>
    </border>
    <border>
      <left style="medium">
        <color theme="6" tint="-0.499984740745262"/>
      </left>
      <right style="thin">
        <color theme="6" tint="-0.249977111117893"/>
      </right>
      <top/>
      <bottom style="thin">
        <color theme="0" tint="-0.14993743705557422"/>
      </bottom>
      <diagonal/>
    </border>
    <border>
      <left style="thin">
        <color theme="6" tint="-0.249977111117893"/>
      </left>
      <right style="medium">
        <color theme="6" tint="-0.499984740745262"/>
      </right>
      <top style="thin">
        <color theme="0" tint="-0.14996795556505021"/>
      </top>
      <bottom style="thin">
        <color theme="0" tint="-0.14996795556505021"/>
      </bottom>
      <diagonal/>
    </border>
    <border>
      <left style="medium">
        <color theme="6" tint="-0.499984740745262"/>
      </left>
      <right style="thin">
        <color theme="6" tint="-0.249977111117893"/>
      </right>
      <top style="thin">
        <color theme="0" tint="-0.14993743705557422"/>
      </top>
      <bottom style="medium">
        <color theme="6" tint="-0.499984740745262"/>
      </bottom>
      <diagonal/>
    </border>
    <border>
      <left style="thin">
        <color theme="6" tint="-0.249977111117893"/>
      </left>
      <right style="medium">
        <color theme="6" tint="-0.499984740745262"/>
      </right>
      <top style="thin">
        <color theme="0" tint="-0.14996795556505021"/>
      </top>
      <bottom style="medium">
        <color theme="6" tint="-0.499984740745262"/>
      </bottom>
      <diagonal/>
    </border>
    <border>
      <left/>
      <right style="medium">
        <color theme="6" tint="-0.499984740745262"/>
      </right>
      <top/>
      <bottom style="thin">
        <color theme="0" tint="-0.14993743705557422"/>
      </bottom>
      <diagonal/>
    </border>
    <border>
      <left/>
      <right/>
      <top style="medium">
        <color theme="6" tint="-0.499984740745262"/>
      </top>
      <bottom style="medium">
        <color theme="6" tint="-0.499984740745262"/>
      </bottom>
      <diagonal/>
    </border>
    <border>
      <left/>
      <right style="medium">
        <color theme="6" tint="-0.499984740745262"/>
      </right>
      <top style="medium">
        <color theme="6" tint="-0.499984740745262"/>
      </top>
      <bottom style="medium">
        <color theme="6" tint="-0.499984740745262"/>
      </bottom>
      <diagonal/>
    </border>
    <border>
      <left style="thin">
        <color theme="0" tint="-0.14996795556505021"/>
      </left>
      <right/>
      <top style="thin">
        <color theme="0" tint="-0.14996795556505021"/>
      </top>
      <bottom/>
      <diagonal/>
    </border>
    <border>
      <left/>
      <right/>
      <top style="thin">
        <color theme="0" tint="-0.14993743705557422"/>
      </top>
      <bottom style="thin">
        <color theme="0" tint="-0.14996795556505021"/>
      </bottom>
      <diagonal/>
    </border>
    <border>
      <left/>
      <right/>
      <top style="thin">
        <color theme="0" tint="-0.14996795556505021"/>
      </top>
      <bottom style="thin">
        <color theme="0" tint="-0.14996795556505021"/>
      </bottom>
      <diagonal/>
    </border>
    <border>
      <left style="medium">
        <color theme="6" tint="-0.499984740745262"/>
      </left>
      <right/>
      <top style="thin">
        <color theme="0" tint="-0.14993743705557422"/>
      </top>
      <bottom style="thin">
        <color theme="0" tint="-0.14993743705557422"/>
      </bottom>
      <diagonal/>
    </border>
    <border>
      <left style="medium">
        <color theme="6" tint="-0.499984740745262"/>
      </left>
      <right style="thin">
        <color theme="6" tint="-0.249977111117893"/>
      </right>
      <top/>
      <bottom/>
      <diagonal/>
    </border>
    <border>
      <left/>
      <right/>
      <top style="thin">
        <color theme="0" tint="-0.14996795556505021"/>
      </top>
      <bottom style="thin">
        <color theme="0" tint="-0.14993743705557422"/>
      </bottom>
      <diagonal/>
    </border>
    <border>
      <left style="medium">
        <color theme="6" tint="-0.499984740745262"/>
      </left>
      <right/>
      <top/>
      <bottom/>
      <diagonal/>
    </border>
    <border>
      <left style="medium">
        <color theme="6" tint="-0.499984740745262"/>
      </left>
      <right style="thin">
        <color theme="0" tint="-0.14996795556505021"/>
      </right>
      <top style="thin">
        <color theme="0" tint="-0.14996795556505021"/>
      </top>
      <bottom style="thin">
        <color theme="0" tint="-0.14996795556505021"/>
      </bottom>
      <diagonal/>
    </border>
    <border>
      <left style="medium">
        <color theme="6" tint="-0.499984740745262"/>
      </left>
      <right/>
      <top/>
      <bottom style="thin">
        <color theme="0" tint="-0.14996795556505021"/>
      </bottom>
      <diagonal/>
    </border>
    <border>
      <left style="medium">
        <color theme="6" tint="-0.499984740745262"/>
      </left>
      <right/>
      <top/>
      <bottom style="medium">
        <color theme="6" tint="-0.499984740745262"/>
      </bottom>
      <diagonal/>
    </border>
    <border>
      <left style="thin">
        <color theme="0" tint="-0.14996795556505021"/>
      </left>
      <right style="medium">
        <color theme="6" tint="-0.499984740745262"/>
      </right>
      <top style="thin">
        <color indexed="64"/>
      </top>
      <bottom style="thin">
        <color theme="0" tint="-0.14996795556505021"/>
      </bottom>
      <diagonal/>
    </border>
    <border>
      <left style="thin">
        <color theme="0" tint="-0.14996795556505021"/>
      </left>
      <right style="medium">
        <color theme="6" tint="-0.499984740745262"/>
      </right>
      <top style="thin">
        <color theme="0" tint="-0.14996795556505021"/>
      </top>
      <bottom style="thin">
        <color theme="0" tint="-0.14996795556505021"/>
      </bottom>
      <diagonal/>
    </border>
    <border>
      <left style="thin">
        <color theme="0" tint="-0.14996795556505021"/>
      </left>
      <right style="medium">
        <color theme="6" tint="-0.499984740745262"/>
      </right>
      <top style="thin">
        <color theme="0" tint="-0.14993743705557422"/>
      </top>
      <bottom style="thin">
        <color theme="0" tint="-0.14993743705557422"/>
      </bottom>
      <diagonal/>
    </border>
    <border>
      <left style="thin">
        <color theme="0" tint="-0.14996795556505021"/>
      </left>
      <right style="medium">
        <color theme="6" tint="-0.499984740745262"/>
      </right>
      <top style="thin">
        <color theme="0" tint="-0.14993743705557422"/>
      </top>
      <bottom/>
      <diagonal/>
    </border>
    <border>
      <left style="thin">
        <color theme="0" tint="-0.14996795556505021"/>
      </left>
      <right style="medium">
        <color theme="6" tint="-0.499984740745262"/>
      </right>
      <top style="thin">
        <color theme="0" tint="-0.14993743705557422"/>
      </top>
      <bottom style="medium">
        <color theme="6" tint="-0.499984740745262"/>
      </bottom>
      <diagonal/>
    </border>
    <border>
      <left style="medium">
        <color theme="6" tint="-0.499984740745262"/>
      </left>
      <right style="medium">
        <color theme="6" tint="-0.499984740745262"/>
      </right>
      <top style="medium">
        <color theme="6" tint="-0.499984740745262"/>
      </top>
      <bottom/>
      <diagonal/>
    </border>
    <border>
      <left style="medium">
        <color theme="6" tint="-0.499984740745262"/>
      </left>
      <right style="medium">
        <color theme="6" tint="-0.499984740745262"/>
      </right>
      <top/>
      <bottom/>
      <diagonal/>
    </border>
    <border>
      <left style="medium">
        <color theme="6" tint="-0.499984740745262"/>
      </left>
      <right style="medium">
        <color theme="6" tint="-0.499984740745262"/>
      </right>
      <top/>
      <bottom style="medium">
        <color theme="6" tint="-0.499984740745262"/>
      </bottom>
      <diagonal/>
    </border>
    <border>
      <left/>
      <right style="medium">
        <color theme="6" tint="-0.499984740745262"/>
      </right>
      <top style="thin">
        <color theme="0" tint="-0.14993743705557422"/>
      </top>
      <bottom style="thin">
        <color theme="0" tint="-0.14993743705557422"/>
      </bottom>
      <diagonal/>
    </border>
    <border>
      <left/>
      <right style="medium">
        <color theme="6" tint="-0.499984740745262"/>
      </right>
      <top style="thin">
        <color theme="0" tint="-0.14993743705557422"/>
      </top>
      <bottom/>
      <diagonal/>
    </border>
    <border>
      <left style="medium">
        <color theme="6" tint="-0.499984740745262"/>
      </left>
      <right style="thin">
        <color theme="2" tint="-0.499984740745262"/>
      </right>
      <top/>
      <bottom style="thin">
        <color theme="0" tint="-0.14993743705557422"/>
      </bottom>
      <diagonal/>
    </border>
    <border>
      <left style="medium">
        <color theme="6" tint="-0.499984740745262"/>
      </left>
      <right style="thin">
        <color theme="2" tint="-0.499984740745262"/>
      </right>
      <top style="thin">
        <color theme="0" tint="-0.14993743705557422"/>
      </top>
      <bottom style="thin">
        <color theme="0" tint="-0.14993743705557422"/>
      </bottom>
      <diagonal/>
    </border>
    <border>
      <left style="medium">
        <color theme="6" tint="-0.499984740745262"/>
      </left>
      <right style="thin">
        <color theme="2" tint="-0.499984740745262"/>
      </right>
      <top style="thin">
        <color theme="0" tint="-0.14993743705557422"/>
      </top>
      <bottom/>
      <diagonal/>
    </border>
    <border>
      <left style="medium">
        <color theme="6" tint="-0.499984740745262"/>
      </left>
      <right style="thin">
        <color theme="2" tint="-0.499984740745262"/>
      </right>
      <top style="thin">
        <color theme="0" tint="-0.14993743705557422"/>
      </top>
      <bottom style="medium">
        <color theme="6" tint="-0.499984740745262"/>
      </bottom>
      <diagonal/>
    </border>
    <border>
      <left style="thin">
        <color theme="0"/>
      </left>
      <right style="thin">
        <color indexed="64"/>
      </right>
      <top style="thin">
        <color indexed="64"/>
      </top>
      <bottom/>
      <diagonal/>
    </border>
    <border>
      <left style="thin">
        <color theme="0"/>
      </left>
      <right style="thin">
        <color indexed="64"/>
      </right>
      <top/>
      <bottom style="thin">
        <color indexed="64"/>
      </bottom>
      <diagonal/>
    </border>
    <border>
      <left style="medium">
        <color theme="6" tint="-0.499984740745262"/>
      </left>
      <right style="medium">
        <color theme="6" tint="-0.499984740745262"/>
      </right>
      <top/>
      <bottom style="thin">
        <color indexed="64"/>
      </bottom>
      <diagonal/>
    </border>
    <border>
      <left style="medium">
        <color theme="6" tint="-0.499984740745262"/>
      </left>
      <right style="thin">
        <color theme="6" tint="-0.249977111117893"/>
      </right>
      <top/>
      <bottom style="medium">
        <color theme="6" tint="-0.499984740745262"/>
      </bottom>
      <diagonal/>
    </border>
    <border>
      <left style="thin">
        <color theme="6" tint="-0.249977111117893"/>
      </left>
      <right style="medium">
        <color theme="6" tint="-0.499984740745262"/>
      </right>
      <top/>
      <bottom style="medium">
        <color theme="6" tint="-0.499984740745262"/>
      </bottom>
      <diagonal/>
    </border>
    <border>
      <left style="thin">
        <color theme="6" tint="-0.249977111117893"/>
      </left>
      <right style="thin">
        <color theme="6" tint="-0.249977111117893"/>
      </right>
      <top/>
      <bottom style="medium">
        <color theme="6" tint="-0.499984740745262"/>
      </bottom>
      <diagonal/>
    </border>
    <border>
      <left style="medium">
        <color theme="6" tint="-0.499984740745262"/>
      </left>
      <right/>
      <top style="medium">
        <color theme="6" tint="-0.499984740745262"/>
      </top>
      <bottom/>
      <diagonal/>
    </border>
    <border>
      <left/>
      <right style="medium">
        <color theme="6" tint="-0.499984740745262"/>
      </right>
      <top style="medium">
        <color theme="6" tint="-0.499984740745262"/>
      </top>
      <bottom/>
      <diagonal/>
    </border>
    <border>
      <left style="medium">
        <color theme="6" tint="-0.499984740745262"/>
      </left>
      <right/>
      <top style="thin">
        <color theme="6" tint="0.39997558519241921"/>
      </top>
      <bottom style="thin">
        <color theme="6" tint="-0.249977111117893"/>
      </bottom>
      <diagonal/>
    </border>
    <border>
      <left/>
      <right/>
      <top style="thin">
        <color theme="6" tint="0.39997558519241921"/>
      </top>
      <bottom style="thin">
        <color theme="6" tint="-0.249977111117893"/>
      </bottom>
      <diagonal/>
    </border>
    <border>
      <left/>
      <right style="medium">
        <color theme="6" tint="-0.499984740745262"/>
      </right>
      <top style="thin">
        <color theme="6" tint="0.39997558519241921"/>
      </top>
      <bottom style="thin">
        <color theme="6" tint="-0.249977111117893"/>
      </bottom>
      <diagonal/>
    </border>
    <border>
      <left style="medium">
        <color theme="6" tint="-0.499984740745262"/>
      </left>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indexed="64"/>
      </bottom>
      <diagonal/>
    </border>
    <border>
      <left style="medium">
        <color theme="6" tint="-0.499984740745262"/>
      </left>
      <right style="medium">
        <color theme="6" tint="-0.499984740745262"/>
      </right>
      <top style="thin">
        <color indexed="64"/>
      </top>
      <bottom style="thin">
        <color indexed="64"/>
      </bottom>
      <diagonal/>
    </border>
    <border>
      <left style="medium">
        <color theme="6" tint="-0.499984740745262"/>
      </left>
      <right style="medium">
        <color theme="6" tint="-0.499984740745262"/>
      </right>
      <top style="thin">
        <color indexed="64"/>
      </top>
      <bottom style="medium">
        <color theme="6" tint="-0.499984740745262"/>
      </bottom>
      <diagonal/>
    </border>
    <border>
      <left/>
      <right/>
      <top style="medium">
        <color theme="6" tint="-0.499984740745262"/>
      </top>
      <bottom style="medium">
        <color indexed="64"/>
      </bottom>
      <diagonal/>
    </border>
    <border>
      <left style="medium">
        <color theme="6" tint="-0.499984740745262"/>
      </left>
      <right style="thin">
        <color indexed="64"/>
      </right>
      <top style="medium">
        <color theme="6" tint="-0.499984740745262"/>
      </top>
      <bottom/>
      <diagonal/>
    </border>
    <border>
      <left style="thin">
        <color indexed="64"/>
      </left>
      <right style="thin">
        <color indexed="64"/>
      </right>
      <top style="medium">
        <color theme="6" tint="-0.499984740745262"/>
      </top>
      <bottom/>
      <diagonal/>
    </border>
    <border>
      <left style="thin">
        <color indexed="64"/>
      </left>
      <right style="medium">
        <color theme="6" tint="-0.499984740745262"/>
      </right>
      <top style="medium">
        <color theme="6" tint="-0.499984740745262"/>
      </top>
      <bottom/>
      <diagonal/>
    </border>
    <border>
      <left/>
      <right style="medium">
        <color theme="6" tint="-0.499984740745262"/>
      </right>
      <top/>
      <bottom/>
      <diagonal/>
    </border>
    <border>
      <left style="medium">
        <color theme="6" tint="-0.499984740745262"/>
      </left>
      <right/>
      <top style="medium">
        <color theme="6" tint="-0.499984740745262"/>
      </top>
      <bottom style="thin">
        <color theme="6" tint="0.39997558519241921"/>
      </bottom>
      <diagonal/>
    </border>
    <border>
      <left/>
      <right style="medium">
        <color theme="6" tint="-0.499984740745262"/>
      </right>
      <top style="medium">
        <color theme="6" tint="-0.499984740745262"/>
      </top>
      <bottom style="thin">
        <color theme="6" tint="0.39997558519241921"/>
      </bottom>
      <diagonal/>
    </border>
    <border>
      <left/>
      <right style="thin">
        <color theme="6" tint="-0.249977111117893"/>
      </right>
      <top/>
      <bottom style="medium">
        <color theme="6" tint="-0.499984740745262"/>
      </bottom>
      <diagonal/>
    </border>
    <border>
      <left/>
      <right style="medium">
        <color theme="6" tint="-0.499984740745262"/>
      </right>
      <top/>
      <bottom style="thin">
        <color indexed="64"/>
      </bottom>
      <diagonal/>
    </border>
    <border>
      <left style="thin">
        <color theme="6" tint="-0.249977111117893"/>
      </left>
      <right style="medium">
        <color theme="6" tint="-0.499984740745262"/>
      </right>
      <top style="thin">
        <color theme="0" tint="-0.14996795556505021"/>
      </top>
      <bottom/>
      <diagonal/>
    </border>
  </borders>
  <cellStyleXfs count="5">
    <xf numFmtId="0" fontId="0" fillId="0" borderId="0"/>
    <xf numFmtId="164" fontId="14" fillId="0" borderId="0" applyFont="0" applyFill="0" applyBorder="0" applyAlignment="0" applyProtection="0"/>
    <xf numFmtId="0" fontId="1" fillId="0" borderId="0"/>
    <xf numFmtId="0" fontId="15" fillId="0" borderId="0" applyNumberFormat="0" applyFill="0" applyBorder="0" applyAlignment="0" applyProtection="0"/>
    <xf numFmtId="0" fontId="14" fillId="0" borderId="0"/>
  </cellStyleXfs>
  <cellXfs count="558">
    <xf numFmtId="0" fontId="0" fillId="0" borderId="0" xfId="0"/>
    <xf numFmtId="0" fontId="0" fillId="0" borderId="0" xfId="0"/>
    <xf numFmtId="0" fontId="0" fillId="0" borderId="0" xfId="0" applyFill="1"/>
    <xf numFmtId="0" fontId="0" fillId="7" borderId="0" xfId="0" applyFill="1"/>
    <xf numFmtId="0" fontId="0" fillId="0" borderId="71" xfId="0" applyBorder="1"/>
    <xf numFmtId="0" fontId="0" fillId="0" borderId="72" xfId="0" applyBorder="1"/>
    <xf numFmtId="0" fontId="0" fillId="0" borderId="73" xfId="0" applyBorder="1"/>
    <xf numFmtId="0" fontId="0" fillId="0" borderId="74" xfId="0" applyBorder="1"/>
    <xf numFmtId="0" fontId="0" fillId="0" borderId="75" xfId="0" applyBorder="1"/>
    <xf numFmtId="0" fontId="0" fillId="0" borderId="76" xfId="0" applyBorder="1"/>
    <xf numFmtId="0" fontId="0" fillId="0" borderId="77" xfId="0" applyBorder="1"/>
    <xf numFmtId="0" fontId="0" fillId="0" borderId="78" xfId="0" applyBorder="1"/>
    <xf numFmtId="0" fontId="0" fillId="0" borderId="79" xfId="0" applyBorder="1"/>
    <xf numFmtId="0" fontId="0" fillId="0" borderId="80" xfId="0" applyBorder="1"/>
    <xf numFmtId="0" fontId="0" fillId="0" borderId="81" xfId="0" applyBorder="1"/>
    <xf numFmtId="0" fontId="0" fillId="9" borderId="0" xfId="0" applyFill="1"/>
    <xf numFmtId="0" fontId="0" fillId="0" borderId="82" xfId="0" applyBorder="1"/>
    <xf numFmtId="0" fontId="0" fillId="0" borderId="83" xfId="0" applyBorder="1"/>
    <xf numFmtId="0" fontId="0" fillId="0" borderId="84" xfId="0" applyBorder="1"/>
    <xf numFmtId="0" fontId="0" fillId="0" borderId="85" xfId="0" applyBorder="1"/>
    <xf numFmtId="0" fontId="0" fillId="0" borderId="86" xfId="0" applyBorder="1"/>
    <xf numFmtId="0" fontId="0" fillId="0" borderId="87" xfId="0" applyBorder="1"/>
    <xf numFmtId="0" fontId="0" fillId="0" borderId="88" xfId="0" applyBorder="1"/>
    <xf numFmtId="0" fontId="0" fillId="0" borderId="89" xfId="0" applyBorder="1"/>
    <xf numFmtId="0" fontId="18" fillId="0" borderId="71" xfId="0" applyFont="1" applyBorder="1"/>
    <xf numFmtId="0" fontId="19" fillId="6" borderId="0" xfId="0" applyFont="1" applyFill="1"/>
    <xf numFmtId="0" fontId="7" fillId="0" borderId="0" xfId="0" applyFont="1" applyAlignment="1">
      <alignment wrapText="1"/>
    </xf>
    <xf numFmtId="0" fontId="7" fillId="0" borderId="0" xfId="0" applyFont="1" applyAlignment="1">
      <alignment horizontal="left" wrapText="1"/>
    </xf>
    <xf numFmtId="0" fontId="0" fillId="0" borderId="0" xfId="0" applyBorder="1"/>
    <xf numFmtId="0" fontId="19" fillId="0" borderId="79" xfId="0" applyFont="1" applyBorder="1"/>
    <xf numFmtId="0" fontId="19" fillId="0" borderId="71" xfId="0" applyFont="1" applyBorder="1"/>
    <xf numFmtId="0" fontId="16" fillId="6" borderId="75" xfId="0" applyFont="1" applyFill="1" applyBorder="1" applyAlignment="1">
      <alignment vertical="top" wrapText="1"/>
    </xf>
    <xf numFmtId="0" fontId="19" fillId="6" borderId="72" xfId="0" applyFont="1" applyFill="1" applyBorder="1"/>
    <xf numFmtId="0" fontId="19" fillId="6" borderId="76" xfId="0" applyFont="1" applyFill="1" applyBorder="1"/>
    <xf numFmtId="0" fontId="19" fillId="6" borderId="74" xfId="0" applyFont="1" applyFill="1" applyBorder="1"/>
    <xf numFmtId="0" fontId="7" fillId="0" borderId="73" xfId="0" applyFont="1" applyBorder="1" applyAlignment="1">
      <alignment wrapText="1"/>
    </xf>
    <xf numFmtId="0" fontId="7" fillId="0" borderId="72" xfId="0" applyFont="1" applyBorder="1" applyAlignment="1">
      <alignment wrapText="1"/>
    </xf>
    <xf numFmtId="0" fontId="7" fillId="0" borderId="79" xfId="0" applyFont="1" applyBorder="1" applyAlignment="1">
      <alignment wrapText="1"/>
    </xf>
    <xf numFmtId="0" fontId="7" fillId="0" borderId="71" xfId="0" applyFont="1" applyBorder="1" applyAlignment="1">
      <alignment wrapText="1"/>
    </xf>
    <xf numFmtId="0" fontId="7" fillId="0" borderId="77" xfId="0" applyFont="1" applyBorder="1" applyAlignment="1">
      <alignment wrapText="1"/>
    </xf>
    <xf numFmtId="0" fontId="0" fillId="0" borderId="90" xfId="0" applyBorder="1"/>
    <xf numFmtId="0" fontId="0" fillId="0" borderId="91" xfId="0" applyBorder="1"/>
    <xf numFmtId="0" fontId="0" fillId="0" borderId="92" xfId="0" applyBorder="1"/>
    <xf numFmtId="0" fontId="0" fillId="0" borderId="93" xfId="0" applyBorder="1"/>
    <xf numFmtId="0" fontId="0" fillId="0" borderId="94" xfId="0" applyBorder="1"/>
    <xf numFmtId="0" fontId="19" fillId="0" borderId="90" xfId="0" applyFont="1" applyBorder="1"/>
    <xf numFmtId="0" fontId="0" fillId="6" borderId="93" xfId="0" applyFont="1" applyFill="1" applyBorder="1"/>
    <xf numFmtId="0" fontId="20" fillId="0" borderId="95" xfId="0" applyFont="1" applyBorder="1" applyAlignment="1">
      <alignment vertical="top" wrapText="1"/>
    </xf>
    <xf numFmtId="0" fontId="20" fillId="0" borderId="96" xfId="0" applyFont="1" applyBorder="1" applyAlignment="1">
      <alignment horizontal="center" vertical="top" wrapText="1"/>
    </xf>
    <xf numFmtId="0" fontId="20" fillId="0" borderId="97" xfId="0" applyFont="1" applyBorder="1" applyAlignment="1">
      <alignment vertical="top" wrapText="1"/>
    </xf>
    <xf numFmtId="0" fontId="20" fillId="0" borderId="0" xfId="0" applyFont="1" applyAlignment="1">
      <alignment horizontal="center" vertical="top" wrapText="1"/>
    </xf>
    <xf numFmtId="0" fontId="20" fillId="0" borderId="98" xfId="0" applyFont="1" applyBorder="1" applyAlignment="1">
      <alignment vertical="top" wrapText="1"/>
    </xf>
    <xf numFmtId="0" fontId="20" fillId="0" borderId="99" xfId="0" applyFont="1" applyBorder="1" applyAlignment="1">
      <alignment horizontal="center" vertical="top" wrapText="1"/>
    </xf>
    <xf numFmtId="0" fontId="14" fillId="0" borderId="0" xfId="4"/>
    <xf numFmtId="0" fontId="0" fillId="0" borderId="0" xfId="0" applyAlignment="1">
      <alignment horizontal="center"/>
    </xf>
    <xf numFmtId="0" fontId="0" fillId="0" borderId="0" xfId="0" applyFill="1" applyAlignment="1">
      <alignment horizontal="center"/>
    </xf>
    <xf numFmtId="0" fontId="0" fillId="0" borderId="101" xfId="0" applyFill="1" applyBorder="1" applyAlignment="1" applyProtection="1">
      <alignment horizontal="center" wrapText="1"/>
      <protection locked="0"/>
    </xf>
    <xf numFmtId="0" fontId="0" fillId="0" borderId="101" xfId="0" applyFill="1" applyBorder="1" applyAlignment="1">
      <alignment horizontal="center"/>
    </xf>
    <xf numFmtId="0" fontId="0" fillId="0" borderId="101" xfId="0" applyFill="1" applyBorder="1"/>
    <xf numFmtId="2" fontId="0" fillId="0" borderId="101" xfId="0" applyNumberFormat="1" applyFill="1" applyBorder="1" applyAlignment="1">
      <alignment horizontal="center"/>
    </xf>
    <xf numFmtId="0" fontId="0" fillId="11" borderId="0" xfId="0" applyFill="1"/>
    <xf numFmtId="0" fontId="0" fillId="11" borderId="0" xfId="0" applyFill="1" applyAlignment="1">
      <alignment horizontal="center"/>
    </xf>
    <xf numFmtId="0" fontId="18" fillId="0" borderId="0" xfId="0" applyFont="1"/>
    <xf numFmtId="0" fontId="18" fillId="0" borderId="0" xfId="0" applyFont="1" applyAlignment="1">
      <alignment horizontal="center"/>
    </xf>
    <xf numFmtId="0" fontId="0" fillId="0" borderId="102" xfId="0" applyFill="1" applyBorder="1" applyAlignment="1">
      <alignment horizontal="center"/>
    </xf>
    <xf numFmtId="0" fontId="21" fillId="11" borderId="0" xfId="0" applyFont="1" applyFill="1" applyAlignment="1">
      <alignment horizontal="center"/>
    </xf>
    <xf numFmtId="0" fontId="22" fillId="0" borderId="0" xfId="0" applyFont="1" applyAlignment="1">
      <alignment horizontal="center"/>
    </xf>
    <xf numFmtId="0" fontId="21" fillId="0" borderId="0" xfId="0" applyFont="1" applyAlignment="1">
      <alignment horizontal="center"/>
    </xf>
    <xf numFmtId="0" fontId="21" fillId="0" borderId="0" xfId="0" applyFont="1"/>
    <xf numFmtId="0" fontId="21" fillId="11" borderId="0" xfId="0" applyFont="1" applyFill="1"/>
    <xf numFmtId="0" fontId="0" fillId="0" borderId="5" xfId="0" applyBorder="1"/>
    <xf numFmtId="0" fontId="0" fillId="0" borderId="11" xfId="0" applyBorder="1"/>
    <xf numFmtId="0" fontId="0" fillId="0" borderId="3" xfId="0" applyBorder="1"/>
    <xf numFmtId="0" fontId="0" fillId="0" borderId="6" xfId="0" applyBorder="1"/>
    <xf numFmtId="0" fontId="0" fillId="0" borderId="30" xfId="0" applyBorder="1" applyProtection="1">
      <protection locked="0"/>
    </xf>
    <xf numFmtId="0" fontId="0" fillId="0" borderId="7" xfId="0" applyBorder="1"/>
    <xf numFmtId="0" fontId="0" fillId="0" borderId="8" xfId="0" applyBorder="1"/>
    <xf numFmtId="0" fontId="0" fillId="0" borderId="12" xfId="0" applyBorder="1"/>
    <xf numFmtId="0" fontId="0" fillId="0" borderId="10" xfId="0" applyBorder="1"/>
    <xf numFmtId="0" fontId="0" fillId="3" borderId="23" xfId="0" applyFill="1" applyBorder="1" applyProtection="1">
      <protection locked="0"/>
    </xf>
    <xf numFmtId="0" fontId="0" fillId="0" borderId="21" xfId="0" applyBorder="1"/>
    <xf numFmtId="0" fontId="0" fillId="0" borderId="19" xfId="0" applyBorder="1"/>
    <xf numFmtId="0" fontId="0" fillId="3" borderId="24" xfId="0" applyFill="1" applyBorder="1" applyProtection="1">
      <protection locked="0"/>
    </xf>
    <xf numFmtId="0" fontId="0" fillId="0" borderId="15" xfId="0" applyBorder="1"/>
    <xf numFmtId="0" fontId="0" fillId="0" borderId="14" xfId="0" applyBorder="1"/>
    <xf numFmtId="0" fontId="0" fillId="0" borderId="9" xfId="0" applyBorder="1"/>
    <xf numFmtId="0" fontId="4" fillId="0" borderId="3" xfId="0" applyFont="1" applyBorder="1"/>
    <xf numFmtId="0" fontId="0" fillId="0" borderId="25" xfId="0" applyBorder="1"/>
    <xf numFmtId="0" fontId="0" fillId="0" borderId="20" xfId="0" applyBorder="1"/>
    <xf numFmtId="0" fontId="0" fillId="0" borderId="12" xfId="0" applyBorder="1" applyAlignment="1">
      <alignment horizontal="right"/>
    </xf>
    <xf numFmtId="0" fontId="0" fillId="3" borderId="24" xfId="0" applyFill="1" applyBorder="1" applyAlignment="1" applyProtection="1">
      <protection locked="0"/>
    </xf>
    <xf numFmtId="0" fontId="0" fillId="3" borderId="23" xfId="0" applyNumberFormat="1" applyFill="1" applyBorder="1" applyProtection="1">
      <protection locked="0"/>
    </xf>
    <xf numFmtId="0" fontId="0" fillId="0" borderId="10" xfId="0" applyBorder="1" applyAlignment="1">
      <alignment horizontal="left"/>
    </xf>
    <xf numFmtId="0" fontId="0" fillId="0" borderId="29" xfId="0" applyBorder="1" applyProtection="1">
      <protection locked="0"/>
    </xf>
    <xf numFmtId="0" fontId="0" fillId="3" borderId="18" xfId="0" applyFill="1" applyBorder="1" applyProtection="1">
      <protection locked="0"/>
    </xf>
    <xf numFmtId="0" fontId="0" fillId="0" borderId="22" xfId="0" applyBorder="1"/>
    <xf numFmtId="0" fontId="0" fillId="0" borderId="17" xfId="0" applyBorder="1"/>
    <xf numFmtId="0" fontId="0" fillId="0" borderId="11" xfId="0" applyBorder="1" applyAlignment="1">
      <alignment horizontal="left"/>
    </xf>
    <xf numFmtId="0" fontId="0" fillId="0" borderId="31" xfId="0" applyBorder="1"/>
    <xf numFmtId="0" fontId="0" fillId="0" borderId="32" xfId="0" applyBorder="1" applyProtection="1">
      <protection locked="0"/>
    </xf>
    <xf numFmtId="0" fontId="0" fillId="0" borderId="33" xfId="0" applyBorder="1" applyProtection="1">
      <protection locked="0"/>
    </xf>
    <xf numFmtId="0" fontId="21" fillId="0" borderId="3" xfId="0" applyFont="1" applyBorder="1"/>
    <xf numFmtId="0" fontId="21" fillId="0" borderId="15" xfId="0" applyFont="1" applyBorder="1"/>
    <xf numFmtId="0" fontId="21" fillId="0" borderId="0" xfId="4" applyFont="1"/>
    <xf numFmtId="0" fontId="0" fillId="0" borderId="4" xfId="0" applyBorder="1"/>
    <xf numFmtId="0" fontId="0" fillId="0" borderId="13" xfId="0" applyBorder="1"/>
    <xf numFmtId="0" fontId="0" fillId="0" borderId="34" xfId="0" applyBorder="1"/>
    <xf numFmtId="0" fontId="7" fillId="0" borderId="12" xfId="0" applyFont="1" applyBorder="1" applyAlignment="1">
      <alignment wrapText="1"/>
    </xf>
    <xf numFmtId="0" fontId="0" fillId="0" borderId="35" xfId="0" applyBorder="1"/>
    <xf numFmtId="0" fontId="0" fillId="0" borderId="36" xfId="0" applyBorder="1"/>
    <xf numFmtId="0" fontId="0" fillId="0" borderId="101" xfId="0" applyBorder="1"/>
    <xf numFmtId="0" fontId="23" fillId="0" borderId="3" xfId="0" applyFont="1" applyBorder="1" applyAlignment="1">
      <alignment horizontal="left"/>
    </xf>
    <xf numFmtId="0" fontId="24" fillId="0" borderId="0" xfId="0" applyFont="1" applyAlignment="1">
      <alignment horizontal="center"/>
    </xf>
    <xf numFmtId="0" fontId="23" fillId="6" borderId="0" xfId="0" applyFont="1" applyFill="1"/>
    <xf numFmtId="0" fontId="11" fillId="4" borderId="0" xfId="0" applyFont="1" applyFill="1" applyBorder="1" applyAlignment="1">
      <alignment horizontal="right" wrapText="1"/>
    </xf>
    <xf numFmtId="0" fontId="23" fillId="0" borderId="0" xfId="0" applyFont="1"/>
    <xf numFmtId="0" fontId="0" fillId="0" borderId="0" xfId="0" applyFont="1"/>
    <xf numFmtId="0" fontId="0" fillId="0" borderId="0" xfId="0" applyFont="1" applyAlignment="1">
      <alignment horizontal="center"/>
    </xf>
    <xf numFmtId="0" fontId="0" fillId="6" borderId="6" xfId="0" applyFill="1" applyBorder="1"/>
    <xf numFmtId="0" fontId="0" fillId="6" borderId="3" xfId="0" applyFill="1" applyBorder="1"/>
    <xf numFmtId="0" fontId="0" fillId="6" borderId="4" xfId="0" applyFill="1" applyBorder="1"/>
    <xf numFmtId="0" fontId="0" fillId="6" borderId="5" xfId="0" applyFill="1" applyBorder="1"/>
    <xf numFmtId="0" fontId="0" fillId="6" borderId="101" xfId="0" applyFill="1" applyBorder="1"/>
    <xf numFmtId="0" fontId="0" fillId="6" borderId="0" xfId="0" applyFill="1"/>
    <xf numFmtId="0" fontId="0" fillId="6" borderId="12" xfId="0" applyFill="1" applyBorder="1"/>
    <xf numFmtId="0" fontId="0" fillId="6" borderId="0" xfId="0" applyFill="1" applyBorder="1" applyProtection="1">
      <protection locked="0"/>
    </xf>
    <xf numFmtId="0" fontId="0" fillId="6" borderId="11" xfId="0" applyFill="1" applyBorder="1"/>
    <xf numFmtId="0" fontId="0" fillId="6" borderId="7" xfId="0" applyFill="1" applyBorder="1"/>
    <xf numFmtId="0" fontId="0" fillId="6" borderId="17" xfId="0" applyFill="1" applyBorder="1"/>
    <xf numFmtId="0" fontId="12" fillId="0" borderId="11" xfId="0" applyFont="1" applyBorder="1"/>
    <xf numFmtId="0" fontId="0" fillId="6" borderId="0" xfId="0" applyFill="1" applyBorder="1" applyAlignment="1">
      <alignment horizontal="center"/>
    </xf>
    <xf numFmtId="0" fontId="0" fillId="6" borderId="30" xfId="0" applyFill="1" applyBorder="1" applyProtection="1">
      <protection locked="0"/>
    </xf>
    <xf numFmtId="0" fontId="0" fillId="0" borderId="34" xfId="0" applyBorder="1" applyProtection="1">
      <protection locked="0"/>
    </xf>
    <xf numFmtId="0" fontId="0" fillId="0" borderId="38" xfId="0" applyBorder="1" applyAlignment="1">
      <alignment horizontal="left"/>
    </xf>
    <xf numFmtId="0" fontId="0" fillId="0" borderId="38" xfId="0" applyBorder="1"/>
    <xf numFmtId="0" fontId="0" fillId="6" borderId="38" xfId="0" applyFill="1" applyBorder="1"/>
    <xf numFmtId="0" fontId="0" fillId="6" borderId="9" xfId="0" applyFill="1" applyBorder="1"/>
    <xf numFmtId="0" fontId="0" fillId="6" borderId="8" xfId="0" applyFill="1" applyBorder="1" applyProtection="1">
      <protection locked="0"/>
    </xf>
    <xf numFmtId="0" fontId="0" fillId="6" borderId="0" xfId="0" applyFill="1" applyBorder="1"/>
    <xf numFmtId="0" fontId="0" fillId="6" borderId="17" xfId="0" applyFill="1" applyBorder="1" applyProtection="1">
      <protection locked="0"/>
    </xf>
    <xf numFmtId="0" fontId="0" fillId="6" borderId="0" xfId="0" applyNumberFormat="1" applyFill="1" applyBorder="1" applyAlignment="1" applyProtection="1">
      <alignment horizontal="left" vertical="top" wrapText="1"/>
      <protection locked="0"/>
    </xf>
    <xf numFmtId="0" fontId="12" fillId="0" borderId="3" xfId="0" applyFont="1" applyBorder="1"/>
    <xf numFmtId="0" fontId="0" fillId="6" borderId="8" xfId="0" applyFill="1" applyBorder="1"/>
    <xf numFmtId="0" fontId="0" fillId="6" borderId="0" xfId="0" applyFill="1" applyBorder="1" applyAlignment="1" applyProtection="1">
      <alignment horizontal="left"/>
      <protection locked="0"/>
    </xf>
    <xf numFmtId="0" fontId="0" fillId="6" borderId="10" xfId="0" applyFill="1" applyBorder="1"/>
    <xf numFmtId="0" fontId="0" fillId="6" borderId="0" xfId="0" applyNumberFormat="1" applyFill="1" applyBorder="1" applyProtection="1">
      <protection locked="0"/>
    </xf>
    <xf numFmtId="0" fontId="25" fillId="0" borderId="101" xfId="0" applyFont="1" applyFill="1" applyBorder="1"/>
    <xf numFmtId="0" fontId="26" fillId="0" borderId="101" xfId="0" applyFont="1" applyFill="1" applyBorder="1" applyAlignment="1">
      <alignment horizontal="left"/>
    </xf>
    <xf numFmtId="0" fontId="25" fillId="0" borderId="101" xfId="0" applyFont="1" applyFill="1" applyBorder="1" applyAlignment="1">
      <alignment horizontal="center"/>
    </xf>
    <xf numFmtId="0" fontId="26" fillId="0" borderId="101" xfId="0" applyFont="1" applyFill="1" applyBorder="1"/>
    <xf numFmtId="0" fontId="25" fillId="0" borderId="101" xfId="0" applyFont="1" applyFill="1" applyBorder="1" applyAlignment="1">
      <alignment horizontal="left"/>
    </xf>
    <xf numFmtId="0" fontId="25" fillId="12" borderId="101" xfId="0" applyFont="1" applyFill="1" applyBorder="1" applyAlignment="1">
      <alignment horizontal="left"/>
    </xf>
    <xf numFmtId="0" fontId="26" fillId="12" borderId="101" xfId="0" applyFont="1" applyFill="1" applyBorder="1" applyAlignment="1">
      <alignment horizontal="left"/>
    </xf>
    <xf numFmtId="0" fontId="25" fillId="12" borderId="101" xfId="0" applyFont="1" applyFill="1" applyBorder="1" applyAlignment="1">
      <alignment horizontal="center"/>
    </xf>
    <xf numFmtId="0" fontId="27" fillId="5" borderId="101" xfId="0" applyFont="1" applyFill="1" applyBorder="1" applyAlignment="1">
      <alignment horizontal="center"/>
    </xf>
    <xf numFmtId="0" fontId="28" fillId="5" borderId="101" xfId="0" applyFont="1" applyFill="1" applyBorder="1" applyAlignment="1">
      <alignment horizontal="center"/>
    </xf>
    <xf numFmtId="0" fontId="26" fillId="0" borderId="101" xfId="0" applyFont="1" applyFill="1" applyBorder="1" applyAlignment="1">
      <alignment horizontal="right"/>
    </xf>
    <xf numFmtId="0" fontId="26" fillId="0" borderId="101" xfId="0" applyFont="1" applyFill="1" applyBorder="1" applyAlignment="1">
      <alignment horizontal="left" vertical="center" indent="1"/>
    </xf>
    <xf numFmtId="0" fontId="28" fillId="5" borderId="101" xfId="0" applyFont="1" applyFill="1" applyBorder="1" applyAlignment="1">
      <alignment horizontal="center" vertical="center"/>
    </xf>
    <xf numFmtId="0" fontId="26" fillId="0" borderId="101" xfId="0" applyFont="1" applyFill="1" applyBorder="1" applyAlignment="1">
      <alignment horizontal="left" wrapText="1" indent="1"/>
    </xf>
    <xf numFmtId="0" fontId="26" fillId="0" borderId="101" xfId="0" applyFont="1" applyFill="1" applyBorder="1" applyAlignment="1">
      <alignment horizontal="left" indent="1"/>
    </xf>
    <xf numFmtId="0" fontId="26" fillId="0" borderId="101" xfId="0" applyFont="1" applyFill="1" applyBorder="1" applyAlignment="1">
      <alignment horizontal="center"/>
    </xf>
    <xf numFmtId="0" fontId="28" fillId="0" borderId="101" xfId="0" applyFont="1" applyFill="1" applyBorder="1" applyAlignment="1">
      <alignment horizontal="center"/>
    </xf>
    <xf numFmtId="0" fontId="26" fillId="0" borderId="101" xfId="0" applyFont="1" applyFill="1" applyBorder="1" applyAlignment="1">
      <alignment horizontal="left" vertical="center"/>
    </xf>
    <xf numFmtId="0" fontId="28" fillId="0" borderId="101" xfId="0" applyFont="1" applyFill="1" applyBorder="1" applyAlignment="1">
      <alignment horizontal="center" vertical="center"/>
    </xf>
    <xf numFmtId="0" fontId="28" fillId="0" borderId="101" xfId="0" applyFont="1" applyFill="1" applyBorder="1"/>
    <xf numFmtId="0" fontId="26" fillId="0" borderId="101" xfId="0" applyFont="1" applyFill="1" applyBorder="1" applyAlignment="1"/>
    <xf numFmtId="0" fontId="0" fillId="0" borderId="39" xfId="0" applyBorder="1"/>
    <xf numFmtId="0" fontId="0" fillId="0" borderId="40" xfId="0" applyBorder="1"/>
    <xf numFmtId="0" fontId="0" fillId="6" borderId="0" xfId="0" applyFill="1" applyBorder="1" applyAlignment="1">
      <alignment wrapText="1"/>
    </xf>
    <xf numFmtId="1" fontId="0" fillId="3" borderId="23" xfId="0" applyNumberFormat="1" applyFill="1" applyBorder="1" applyProtection="1">
      <protection locked="0"/>
    </xf>
    <xf numFmtId="0" fontId="19" fillId="6" borderId="0" xfId="0" applyFont="1" applyFill="1" applyBorder="1"/>
    <xf numFmtId="1" fontId="19" fillId="6" borderId="0" xfId="0" applyNumberFormat="1" applyFont="1" applyFill="1" applyBorder="1"/>
    <xf numFmtId="2" fontId="0" fillId="0" borderId="101" xfId="0" applyNumberFormat="1" applyFill="1" applyBorder="1"/>
    <xf numFmtId="0" fontId="0" fillId="0" borderId="103" xfId="0" applyFill="1" applyBorder="1" applyAlignment="1" applyProtection="1">
      <alignment horizontal="center"/>
      <protection locked="0"/>
    </xf>
    <xf numFmtId="0" fontId="29" fillId="0" borderId="104" xfId="0" applyFont="1" applyBorder="1" applyAlignment="1">
      <alignment vertical="center" wrapText="1"/>
    </xf>
    <xf numFmtId="0" fontId="0" fillId="0" borderId="105" xfId="0" applyFill="1" applyBorder="1" applyAlignment="1" applyProtection="1">
      <alignment horizontal="center"/>
      <protection locked="0"/>
    </xf>
    <xf numFmtId="0" fontId="29" fillId="0" borderId="106" xfId="0" applyFont="1" applyBorder="1" applyAlignment="1">
      <alignment vertical="center" wrapText="1"/>
    </xf>
    <xf numFmtId="0" fontId="23" fillId="0" borderId="0" xfId="0" applyFont="1" applyAlignment="1">
      <alignment horizontal="center"/>
    </xf>
    <xf numFmtId="0" fontId="0" fillId="6" borderId="41" xfId="0" applyFill="1" applyBorder="1"/>
    <xf numFmtId="0" fontId="0" fillId="6" borderId="42" xfId="0" applyFill="1" applyBorder="1"/>
    <xf numFmtId="0" fontId="0" fillId="0" borderId="43" xfId="0" applyBorder="1"/>
    <xf numFmtId="0" fontId="0" fillId="0" borderId="44" xfId="0" applyBorder="1"/>
    <xf numFmtId="0" fontId="0" fillId="0" borderId="45" xfId="0" applyBorder="1"/>
    <xf numFmtId="0" fontId="0" fillId="0" borderId="46" xfId="0" applyBorder="1"/>
    <xf numFmtId="0" fontId="18" fillId="0" borderId="39" xfId="0" applyFont="1" applyBorder="1"/>
    <xf numFmtId="0" fontId="0" fillId="0" borderId="42" xfId="0" applyBorder="1"/>
    <xf numFmtId="0" fontId="0" fillId="0" borderId="47" xfId="0" applyBorder="1"/>
    <xf numFmtId="0" fontId="0" fillId="6" borderId="48" xfId="0" applyFill="1" applyBorder="1"/>
    <xf numFmtId="0" fontId="19" fillId="6" borderId="48" xfId="0" applyFont="1" applyFill="1" applyBorder="1"/>
    <xf numFmtId="0" fontId="0" fillId="0" borderId="49" xfId="0" applyBorder="1"/>
    <xf numFmtId="0" fontId="0" fillId="6" borderId="47" xfId="0" applyFill="1" applyBorder="1"/>
    <xf numFmtId="0" fontId="0" fillId="3" borderId="0" xfId="0" applyFill="1" applyBorder="1" applyProtection="1">
      <protection locked="0"/>
    </xf>
    <xf numFmtId="0" fontId="0" fillId="0" borderId="50" xfId="0" applyBorder="1"/>
    <xf numFmtId="0" fontId="0" fillId="0" borderId="51" xfId="0" applyBorder="1"/>
    <xf numFmtId="0" fontId="0" fillId="0" borderId="41" xfId="0" applyBorder="1"/>
    <xf numFmtId="0" fontId="0" fillId="3" borderId="48" xfId="0" applyFill="1" applyBorder="1" applyProtection="1">
      <protection locked="0"/>
    </xf>
    <xf numFmtId="14" fontId="0" fillId="3" borderId="0" xfId="0" applyNumberFormat="1" applyFill="1" applyBorder="1" applyProtection="1">
      <protection locked="0"/>
    </xf>
    <xf numFmtId="14" fontId="0" fillId="6" borderId="0" xfId="0" applyNumberFormat="1" applyFill="1" applyBorder="1" applyProtection="1">
      <protection locked="0"/>
    </xf>
    <xf numFmtId="0" fontId="0" fillId="0" borderId="107" xfId="0" applyBorder="1"/>
    <xf numFmtId="0" fontId="0" fillId="0" borderId="108" xfId="0" applyBorder="1"/>
    <xf numFmtId="0" fontId="0" fillId="0" borderId="109" xfId="0" applyBorder="1"/>
    <xf numFmtId="0" fontId="0" fillId="0" borderId="110" xfId="0" applyBorder="1"/>
    <xf numFmtId="0" fontId="0" fillId="0" borderId="111" xfId="0" applyBorder="1"/>
    <xf numFmtId="0" fontId="0" fillId="0" borderId="112" xfId="0" applyBorder="1"/>
    <xf numFmtId="0" fontId="0" fillId="0" borderId="113" xfId="0" applyBorder="1"/>
    <xf numFmtId="0" fontId="0" fillId="0" borderId="100" xfId="0" applyBorder="1"/>
    <xf numFmtId="0" fontId="0" fillId="0" borderId="16" xfId="0" applyBorder="1"/>
    <xf numFmtId="0" fontId="0" fillId="0" borderId="114" xfId="0" applyBorder="1"/>
    <xf numFmtId="0" fontId="0" fillId="0" borderId="115" xfId="0" applyBorder="1"/>
    <xf numFmtId="0" fontId="0" fillId="0" borderId="116" xfId="0" applyBorder="1"/>
    <xf numFmtId="0" fontId="0" fillId="0" borderId="117" xfId="0" applyBorder="1"/>
    <xf numFmtId="0" fontId="0" fillId="0" borderId="118" xfId="0" applyBorder="1"/>
    <xf numFmtId="0" fontId="0" fillId="0" borderId="119" xfId="0" applyBorder="1"/>
    <xf numFmtId="0" fontId="0" fillId="0" borderId="120" xfId="0" applyBorder="1"/>
    <xf numFmtId="0" fontId="0" fillId="0" borderId="121" xfId="0" applyBorder="1"/>
    <xf numFmtId="0" fontId="0" fillId="0" borderId="122" xfId="0" applyBorder="1"/>
    <xf numFmtId="0" fontId="0" fillId="0" borderId="123" xfId="0" applyBorder="1"/>
    <xf numFmtId="0" fontId="0" fillId="0" borderId="124" xfId="0" applyBorder="1"/>
    <xf numFmtId="0" fontId="0" fillId="0" borderId="125" xfId="0" applyBorder="1"/>
    <xf numFmtId="0" fontId="0" fillId="0" borderId="126" xfId="0" applyBorder="1"/>
    <xf numFmtId="0" fontId="23" fillId="13" borderId="3" xfId="0" applyFont="1" applyFill="1" applyBorder="1" applyProtection="1">
      <protection locked="0"/>
    </xf>
    <xf numFmtId="0" fontId="0" fillId="13" borderId="0" xfId="0" applyFill="1" applyProtection="1">
      <protection locked="0"/>
    </xf>
    <xf numFmtId="0" fontId="0" fillId="0" borderId="101" xfId="0" applyFill="1" applyBorder="1" applyProtection="1"/>
    <xf numFmtId="0" fontId="0" fillId="0" borderId="103" xfId="0" applyBorder="1" applyAlignment="1" applyProtection="1">
      <alignment horizontal="center"/>
      <protection locked="0"/>
    </xf>
    <xf numFmtId="0" fontId="0" fillId="0" borderId="105" xfId="0" applyBorder="1" applyAlignment="1" applyProtection="1">
      <alignment horizontal="center"/>
      <protection locked="0"/>
    </xf>
    <xf numFmtId="165" fontId="14" fillId="3" borderId="0" xfId="1" applyNumberFormat="1" applyFont="1" applyFill="1" applyBorder="1" applyProtection="1">
      <protection locked="0"/>
    </xf>
    <xf numFmtId="0" fontId="0" fillId="13" borderId="6" xfId="0" applyFill="1" applyBorder="1" applyProtection="1">
      <protection locked="0"/>
    </xf>
    <xf numFmtId="0" fontId="0" fillId="0" borderId="0" xfId="0" applyNumberFormat="1" applyFill="1" applyBorder="1" applyAlignment="1" applyProtection="1">
      <protection locked="0"/>
    </xf>
    <xf numFmtId="0" fontId="0" fillId="0" borderId="101" xfId="0" applyBorder="1" applyAlignment="1">
      <alignment wrapText="1"/>
    </xf>
    <xf numFmtId="0" fontId="18" fillId="6" borderId="8" xfId="0" applyFont="1" applyFill="1" applyBorder="1"/>
    <xf numFmtId="0" fontId="18" fillId="6" borderId="17" xfId="0" applyFont="1" applyFill="1" applyBorder="1"/>
    <xf numFmtId="0" fontId="18" fillId="6" borderId="101" xfId="0" applyFont="1" applyFill="1" applyBorder="1"/>
    <xf numFmtId="0" fontId="18" fillId="6" borderId="0" xfId="0" applyFont="1" applyFill="1"/>
    <xf numFmtId="0" fontId="0" fillId="0" borderId="127" xfId="0" applyBorder="1" applyAlignment="1">
      <alignment wrapText="1"/>
    </xf>
    <xf numFmtId="0" fontId="0" fillId="0" borderId="86" xfId="0" applyNumberFormat="1" applyFill="1" applyBorder="1" applyAlignment="1" applyProtection="1">
      <protection locked="0"/>
    </xf>
    <xf numFmtId="0" fontId="0" fillId="0" borderId="76" xfId="0" applyNumberFormat="1" applyFill="1" applyBorder="1" applyAlignment="1" applyProtection="1">
      <protection locked="0"/>
    </xf>
    <xf numFmtId="0" fontId="18" fillId="0" borderId="114" xfId="0" applyNumberFormat="1" applyFont="1" applyFill="1" applyBorder="1" applyAlignment="1" applyProtection="1">
      <protection locked="0"/>
    </xf>
    <xf numFmtId="0" fontId="0" fillId="3" borderId="1" xfId="0" applyFill="1" applyBorder="1" applyProtection="1">
      <protection locked="0"/>
    </xf>
    <xf numFmtId="0" fontId="18" fillId="3" borderId="1" xfId="0" applyFont="1" applyFill="1" applyBorder="1" applyProtection="1">
      <protection locked="0"/>
    </xf>
    <xf numFmtId="0" fontId="0" fillId="0" borderId="8" xfId="0" applyBorder="1" applyAlignment="1">
      <alignment wrapText="1"/>
    </xf>
    <xf numFmtId="0" fontId="0" fillId="6" borderId="128" xfId="0" applyFill="1" applyBorder="1"/>
    <xf numFmtId="0" fontId="0" fillId="0" borderId="129" xfId="0" applyBorder="1" applyAlignment="1">
      <alignment wrapText="1"/>
    </xf>
    <xf numFmtId="0" fontId="0" fillId="0" borderId="130" xfId="0" applyBorder="1"/>
    <xf numFmtId="0" fontId="11" fillId="4" borderId="37" xfId="0" applyFont="1" applyFill="1" applyBorder="1" applyAlignment="1">
      <alignment horizontal="center" wrapText="1"/>
    </xf>
    <xf numFmtId="0" fontId="11" fillId="4" borderId="0" xfId="0" applyFont="1" applyFill="1" applyBorder="1" applyAlignment="1">
      <alignment horizontal="center" wrapText="1"/>
    </xf>
    <xf numFmtId="0" fontId="0" fillId="0" borderId="82" xfId="0" applyFont="1" applyBorder="1" applyAlignment="1">
      <alignment horizontal="center" vertical="top"/>
    </xf>
    <xf numFmtId="0" fontId="0" fillId="0" borderId="82" xfId="0" applyFont="1" applyBorder="1" applyAlignment="1">
      <alignment horizontal="center"/>
    </xf>
    <xf numFmtId="0" fontId="0" fillId="0" borderId="75" xfId="0" applyFont="1" applyBorder="1" applyAlignment="1">
      <alignment horizontal="center"/>
    </xf>
    <xf numFmtId="0" fontId="0" fillId="0" borderId="74" xfId="0" applyFont="1" applyBorder="1" applyAlignment="1">
      <alignment horizontal="center"/>
    </xf>
    <xf numFmtId="0" fontId="23" fillId="0" borderId="74" xfId="0" applyFont="1" applyBorder="1" applyAlignment="1">
      <alignment horizontal="center" vertical="top"/>
    </xf>
    <xf numFmtId="0" fontId="23" fillId="0" borderId="73" xfId="0" applyFont="1" applyBorder="1" applyAlignment="1">
      <alignment horizontal="center" vertical="top"/>
    </xf>
    <xf numFmtId="0" fontId="0" fillId="0" borderId="75" xfId="0" applyFont="1" applyBorder="1" applyAlignment="1">
      <alignment horizontal="center" vertical="top"/>
    </xf>
    <xf numFmtId="0" fontId="0" fillId="0" borderId="74" xfId="0" applyFont="1" applyBorder="1" applyAlignment="1">
      <alignment horizontal="center" vertical="top"/>
    </xf>
    <xf numFmtId="0" fontId="0" fillId="0" borderId="71" xfId="0" applyFont="1" applyBorder="1"/>
    <xf numFmtId="0" fontId="0" fillId="0" borderId="71" xfId="0" applyFont="1" applyBorder="1" applyAlignment="1">
      <alignment horizontal="center"/>
    </xf>
    <xf numFmtId="0" fontId="0" fillId="0" borderId="83" xfId="0" applyFont="1" applyBorder="1"/>
    <xf numFmtId="0" fontId="0" fillId="0" borderId="81" xfId="0" applyFont="1" applyBorder="1"/>
    <xf numFmtId="0" fontId="0" fillId="0" borderId="131" xfId="0" applyFill="1" applyBorder="1" applyProtection="1">
      <protection locked="0"/>
    </xf>
    <xf numFmtId="0" fontId="0" fillId="0" borderId="0" xfId="0" applyAlignment="1">
      <alignment horizontal="left"/>
    </xf>
    <xf numFmtId="0" fontId="24" fillId="0" borderId="0" xfId="0" applyFont="1" applyAlignment="1">
      <alignment horizontal="left"/>
    </xf>
    <xf numFmtId="0" fontId="18" fillId="0" borderId="0" xfId="0" applyFont="1" applyAlignment="1">
      <alignment horizontal="left"/>
    </xf>
    <xf numFmtId="0" fontId="0" fillId="11" borderId="0" xfId="0" applyFill="1" applyAlignment="1">
      <alignment horizontal="left"/>
    </xf>
    <xf numFmtId="0" fontId="23" fillId="0" borderId="0" xfId="0" applyFont="1" applyAlignment="1">
      <alignment horizontal="left"/>
    </xf>
    <xf numFmtId="0" fontId="0" fillId="0" borderId="132" xfId="0" applyFill="1" applyBorder="1" applyAlignment="1" applyProtection="1">
      <alignment horizontal="center"/>
      <protection locked="0"/>
    </xf>
    <xf numFmtId="0" fontId="0" fillId="0" borderId="133" xfId="0" applyFill="1" applyBorder="1" applyAlignment="1" applyProtection="1">
      <alignment horizontal="center"/>
      <protection locked="0"/>
    </xf>
    <xf numFmtId="0" fontId="0" fillId="0" borderId="134" xfId="0" applyFill="1" applyBorder="1" applyAlignment="1" applyProtection="1">
      <alignment horizontal="center"/>
      <protection locked="0"/>
    </xf>
    <xf numFmtId="0" fontId="0" fillId="0" borderId="135" xfId="0" applyFill="1" applyBorder="1" applyAlignment="1" applyProtection="1">
      <alignment horizontal="center"/>
      <protection locked="0"/>
    </xf>
    <xf numFmtId="0" fontId="23" fillId="0" borderId="136" xfId="0" applyFont="1" applyFill="1" applyBorder="1" applyAlignment="1" applyProtection="1">
      <alignment horizontal="center" wrapText="1"/>
      <protection locked="0"/>
    </xf>
    <xf numFmtId="0" fontId="23" fillId="0" borderId="137" xfId="0" applyFont="1" applyFill="1" applyBorder="1" applyAlignment="1" applyProtection="1">
      <alignment horizontal="center" wrapText="1"/>
      <protection locked="0"/>
    </xf>
    <xf numFmtId="0" fontId="23" fillId="0" borderId="138" xfId="0" applyFont="1" applyFill="1" applyBorder="1" applyAlignment="1" applyProtection="1">
      <alignment horizontal="center" wrapText="1"/>
      <protection locked="0"/>
    </xf>
    <xf numFmtId="0" fontId="23" fillId="0" borderId="132" xfId="0" applyFont="1" applyFill="1" applyBorder="1" applyAlignment="1" applyProtection="1">
      <alignment horizontal="center" wrapText="1"/>
      <protection locked="0"/>
    </xf>
    <xf numFmtId="0" fontId="23" fillId="0" borderId="133" xfId="0" applyFont="1" applyFill="1" applyBorder="1" applyAlignment="1" applyProtection="1">
      <alignment horizontal="center" wrapText="1"/>
      <protection locked="0"/>
    </xf>
    <xf numFmtId="0" fontId="0" fillId="0" borderId="136" xfId="0" applyFill="1" applyBorder="1" applyAlignment="1" applyProtection="1">
      <alignment horizontal="center"/>
      <protection locked="0"/>
    </xf>
    <xf numFmtId="0" fontId="0" fillId="0" borderId="137" xfId="0" applyFill="1" applyBorder="1" applyAlignment="1" applyProtection="1">
      <alignment horizontal="center"/>
      <protection locked="0"/>
    </xf>
    <xf numFmtId="0" fontId="21" fillId="11" borderId="139" xfId="0" applyFont="1" applyFill="1" applyBorder="1" applyAlignment="1">
      <alignment horizontal="center"/>
    </xf>
    <xf numFmtId="0" fontId="0" fillId="0" borderId="139" xfId="0" applyFill="1" applyBorder="1" applyAlignment="1" applyProtection="1">
      <alignment horizontal="center"/>
      <protection locked="0"/>
    </xf>
    <xf numFmtId="0" fontId="0" fillId="0" borderId="140" xfId="0" applyFill="1" applyBorder="1" applyAlignment="1" applyProtection="1">
      <alignment horizontal="center"/>
      <protection locked="0"/>
    </xf>
    <xf numFmtId="0" fontId="0" fillId="0" borderId="141" xfId="0" applyFill="1" applyBorder="1" applyAlignment="1" applyProtection="1">
      <alignment horizontal="center"/>
      <protection locked="0"/>
    </xf>
    <xf numFmtId="0" fontId="0" fillId="0" borderId="142" xfId="0" applyFill="1" applyBorder="1" applyAlignment="1" applyProtection="1">
      <alignment horizontal="center"/>
      <protection locked="0"/>
    </xf>
    <xf numFmtId="0" fontId="0" fillId="0" borderId="143" xfId="0" applyFill="1" applyBorder="1" applyAlignment="1" applyProtection="1">
      <alignment horizontal="center"/>
      <protection locked="0"/>
    </xf>
    <xf numFmtId="0" fontId="24" fillId="0" borderId="144" xfId="0" applyFont="1" applyBorder="1" applyAlignment="1">
      <alignment horizontal="center"/>
    </xf>
    <xf numFmtId="0" fontId="0" fillId="0" borderId="145" xfId="0" applyFill="1" applyBorder="1" applyAlignment="1" applyProtection="1">
      <alignment horizontal="center"/>
      <protection locked="0"/>
    </xf>
    <xf numFmtId="0" fontId="0" fillId="0" borderId="138" xfId="0" applyFill="1" applyBorder="1" applyAlignment="1" applyProtection="1">
      <alignment horizontal="center"/>
      <protection locked="0"/>
    </xf>
    <xf numFmtId="0" fontId="0" fillId="0" borderId="142" xfId="0" applyFill="1" applyBorder="1" applyAlignment="1" applyProtection="1">
      <alignment horizontal="center" wrapText="1"/>
      <protection locked="0"/>
    </xf>
    <xf numFmtId="0" fontId="21" fillId="11" borderId="146" xfId="0" applyFont="1" applyFill="1" applyBorder="1" applyAlignment="1">
      <alignment horizontal="center"/>
    </xf>
    <xf numFmtId="0" fontId="0" fillId="11" borderId="146" xfId="0" applyFill="1" applyBorder="1" applyAlignment="1">
      <alignment horizontal="center"/>
    </xf>
    <xf numFmtId="0" fontId="0" fillId="0" borderId="147" xfId="0" applyFill="1" applyBorder="1" applyAlignment="1" applyProtection="1">
      <alignment horizontal="center"/>
      <protection locked="0"/>
    </xf>
    <xf numFmtId="0" fontId="0" fillId="0" borderId="148" xfId="0" applyFill="1" applyBorder="1" applyAlignment="1" applyProtection="1">
      <alignment horizontal="center"/>
      <protection locked="0"/>
    </xf>
    <xf numFmtId="0" fontId="0" fillId="0" borderId="143" xfId="0" applyFill="1" applyBorder="1" applyAlignment="1" applyProtection="1">
      <alignment horizontal="center" wrapText="1"/>
      <protection locked="0"/>
    </xf>
    <xf numFmtId="0" fontId="0" fillId="0" borderId="147" xfId="0" applyFill="1" applyBorder="1" applyAlignment="1" applyProtection="1">
      <alignment horizontal="center" wrapText="1"/>
      <protection locked="0"/>
    </xf>
    <xf numFmtId="0" fontId="0" fillId="0" borderId="149" xfId="0" applyFill="1" applyBorder="1" applyAlignment="1" applyProtection="1">
      <alignment horizontal="center"/>
      <protection locked="0"/>
    </xf>
    <xf numFmtId="0" fontId="23" fillId="0" borderId="149" xfId="0" applyFont="1" applyFill="1" applyBorder="1" applyAlignment="1" applyProtection="1">
      <alignment horizontal="center" wrapText="1"/>
      <protection locked="0"/>
    </xf>
    <xf numFmtId="0" fontId="23" fillId="0" borderId="150" xfId="0" applyFont="1" applyFill="1" applyBorder="1" applyAlignment="1" applyProtection="1">
      <alignment horizontal="center" wrapText="1"/>
      <protection locked="0"/>
    </xf>
    <xf numFmtId="0" fontId="0" fillId="0" borderId="136" xfId="0" applyBorder="1" applyAlignment="1" applyProtection="1">
      <alignment horizontal="center"/>
      <protection locked="0"/>
    </xf>
    <xf numFmtId="0" fontId="0" fillId="0" borderId="137" xfId="0" applyBorder="1" applyAlignment="1" applyProtection="1">
      <alignment horizontal="center"/>
      <protection locked="0"/>
    </xf>
    <xf numFmtId="0" fontId="0" fillId="0" borderId="151" xfId="0" applyBorder="1" applyAlignment="1" applyProtection="1">
      <alignment horizontal="center"/>
      <protection locked="0"/>
    </xf>
    <xf numFmtId="0" fontId="0" fillId="0" borderId="152" xfId="0" applyBorder="1" applyAlignment="1" applyProtection="1">
      <alignment horizontal="center"/>
      <protection locked="0"/>
    </xf>
    <xf numFmtId="0" fontId="0" fillId="0" borderId="149" xfId="0" applyBorder="1" applyAlignment="1" applyProtection="1">
      <alignment horizontal="center"/>
      <protection locked="0"/>
    </xf>
    <xf numFmtId="0" fontId="0" fillId="0" borderId="153" xfId="0" applyBorder="1" applyAlignment="1" applyProtection="1">
      <alignment horizontal="center"/>
      <protection locked="0"/>
    </xf>
    <xf numFmtId="0" fontId="0" fillId="0" borderId="154" xfId="0" applyBorder="1" applyAlignment="1" applyProtection="1">
      <alignment horizontal="center"/>
      <protection locked="0"/>
    </xf>
    <xf numFmtId="0" fontId="0" fillId="0" borderId="141" xfId="0" applyBorder="1" applyAlignment="1" applyProtection="1">
      <alignment horizontal="center"/>
      <protection locked="0"/>
    </xf>
    <xf numFmtId="0" fontId="0" fillId="0" borderId="142" xfId="0" applyBorder="1" applyAlignment="1" applyProtection="1">
      <alignment horizontal="center"/>
      <protection locked="0"/>
    </xf>
    <xf numFmtId="0" fontId="0" fillId="0" borderId="147" xfId="0" applyBorder="1" applyAlignment="1" applyProtection="1">
      <alignment horizontal="center"/>
      <protection locked="0"/>
    </xf>
    <xf numFmtId="0" fontId="29" fillId="0" borderId="136" xfId="0" applyFont="1" applyBorder="1" applyAlignment="1" applyProtection="1">
      <alignment vertical="center" wrapText="1"/>
      <protection locked="0"/>
    </xf>
    <xf numFmtId="0" fontId="29" fillId="0" borderId="137" xfId="0" applyFont="1" applyBorder="1" applyAlignment="1" applyProtection="1">
      <alignment vertical="center" wrapText="1"/>
      <protection locked="0"/>
    </xf>
    <xf numFmtId="0" fontId="29" fillId="0" borderId="156" xfId="0" applyFont="1" applyBorder="1" applyAlignment="1" applyProtection="1">
      <alignment vertical="center" wrapText="1"/>
      <protection locked="0"/>
    </xf>
    <xf numFmtId="0" fontId="0" fillId="0" borderId="157" xfId="0" applyFill="1" applyBorder="1" applyAlignment="1" applyProtection="1">
      <alignment horizontal="center"/>
      <protection locked="0"/>
    </xf>
    <xf numFmtId="0" fontId="29" fillId="0" borderId="158" xfId="0" applyFont="1" applyBorder="1" applyAlignment="1" applyProtection="1">
      <alignment vertical="center" wrapText="1"/>
      <protection locked="0"/>
    </xf>
    <xf numFmtId="0" fontId="0" fillId="0" borderId="159" xfId="0" applyFill="1" applyBorder="1" applyAlignment="1" applyProtection="1">
      <alignment horizontal="center"/>
      <protection locked="0"/>
    </xf>
    <xf numFmtId="0" fontId="0" fillId="0" borderId="156" xfId="0" applyFill="1" applyBorder="1" applyAlignment="1" applyProtection="1">
      <alignment horizontal="center"/>
      <protection locked="0"/>
    </xf>
    <xf numFmtId="0" fontId="0" fillId="0" borderId="150" xfId="0" applyFill="1" applyBorder="1" applyAlignment="1" applyProtection="1">
      <alignment horizontal="center"/>
      <protection locked="0"/>
    </xf>
    <xf numFmtId="0" fontId="0" fillId="0" borderId="160" xfId="0" applyFill="1" applyBorder="1" applyAlignment="1" applyProtection="1">
      <alignment horizontal="center"/>
      <protection locked="0"/>
    </xf>
    <xf numFmtId="0" fontId="22" fillId="2" borderId="161" xfId="0" applyFont="1" applyFill="1" applyBorder="1" applyAlignment="1">
      <alignment horizontal="center"/>
    </xf>
    <xf numFmtId="0" fontId="18" fillId="2" borderId="162" xfId="0" applyFont="1" applyFill="1" applyBorder="1" applyAlignment="1">
      <alignment horizontal="center"/>
    </xf>
    <xf numFmtId="0" fontId="0" fillId="0" borderId="138" xfId="0" applyBorder="1" applyAlignment="1" applyProtection="1">
      <alignment horizontal="center"/>
      <protection locked="0"/>
    </xf>
    <xf numFmtId="0" fontId="0" fillId="0" borderId="158" xfId="0" applyBorder="1" applyAlignment="1" applyProtection="1">
      <alignment horizontal="center"/>
      <protection locked="0"/>
    </xf>
    <xf numFmtId="0" fontId="24" fillId="0" borderId="0" xfId="0" applyFont="1" applyBorder="1" applyAlignment="1">
      <alignment horizontal="center"/>
    </xf>
    <xf numFmtId="0" fontId="23" fillId="0" borderId="148" xfId="0" applyFont="1" applyFill="1" applyBorder="1" applyAlignment="1" applyProtection="1">
      <alignment horizontal="center" wrapText="1"/>
      <protection locked="0"/>
    </xf>
    <xf numFmtId="0" fontId="23" fillId="0" borderId="155" xfId="0" applyFont="1" applyFill="1" applyBorder="1" applyAlignment="1" applyProtection="1">
      <alignment horizontal="center" wrapText="1"/>
      <protection locked="0"/>
    </xf>
    <xf numFmtId="0" fontId="23" fillId="0" borderId="156" xfId="0" applyFont="1" applyFill="1" applyBorder="1" applyAlignment="1" applyProtection="1">
      <alignment horizontal="center" wrapText="1"/>
      <protection locked="0"/>
    </xf>
    <xf numFmtId="0" fontId="0" fillId="11" borderId="146" xfId="0" applyFill="1" applyBorder="1"/>
    <xf numFmtId="0" fontId="0" fillId="0" borderId="163" xfId="0" applyFill="1" applyBorder="1" applyProtection="1">
      <protection locked="0"/>
    </xf>
    <xf numFmtId="0" fontId="0" fillId="0" borderId="128" xfId="0" applyFill="1" applyBorder="1" applyProtection="1"/>
    <xf numFmtId="0" fontId="0" fillId="0" borderId="137" xfId="0" applyFill="1" applyBorder="1" applyAlignment="1" applyProtection="1">
      <alignment horizontal="center" wrapText="1"/>
      <protection locked="0"/>
    </xf>
    <xf numFmtId="0" fontId="0" fillId="0" borderId="138" xfId="0" applyFill="1" applyBorder="1" applyAlignment="1" applyProtection="1">
      <alignment horizontal="center" wrapText="1"/>
      <protection locked="0"/>
    </xf>
    <xf numFmtId="0" fontId="0" fillId="0" borderId="164" xfId="0" applyBorder="1" applyAlignment="1" applyProtection="1">
      <alignment horizontal="center"/>
      <protection locked="0"/>
    </xf>
    <xf numFmtId="0" fontId="0" fillId="0" borderId="165" xfId="0" applyFill="1" applyBorder="1" applyProtection="1">
      <protection locked="0"/>
    </xf>
    <xf numFmtId="0" fontId="0" fillId="0" borderId="166" xfId="0" applyBorder="1" applyAlignment="1" applyProtection="1">
      <alignment horizontal="center"/>
      <protection locked="0"/>
    </xf>
    <xf numFmtId="0" fontId="0" fillId="0" borderId="167" xfId="0" applyFill="1" applyBorder="1" applyAlignment="1" applyProtection="1">
      <alignment horizontal="center" wrapText="1"/>
      <protection locked="0"/>
    </xf>
    <xf numFmtId="0" fontId="0" fillId="0" borderId="156" xfId="0" applyFill="1" applyBorder="1" applyAlignment="1" applyProtection="1">
      <alignment horizontal="center" wrapText="1"/>
      <protection locked="0"/>
    </xf>
    <xf numFmtId="0" fontId="0" fillId="0" borderId="150" xfId="0" applyFill="1" applyBorder="1" applyAlignment="1" applyProtection="1">
      <alignment horizontal="center" wrapText="1"/>
      <protection locked="0"/>
    </xf>
    <xf numFmtId="0" fontId="0" fillId="0" borderId="158" xfId="0" applyFill="1" applyBorder="1" applyAlignment="1" applyProtection="1">
      <alignment horizontal="center" wrapText="1"/>
      <protection locked="0"/>
    </xf>
    <xf numFmtId="2" fontId="0" fillId="0" borderId="152" xfId="0" applyNumberFormat="1" applyFill="1" applyBorder="1" applyAlignment="1" applyProtection="1">
      <alignment horizontal="left"/>
      <protection locked="0"/>
    </xf>
    <xf numFmtId="2" fontId="0" fillId="0" borderId="153" xfId="0" applyNumberFormat="1" applyFill="1" applyBorder="1" applyAlignment="1" applyProtection="1">
      <alignment horizontal="left"/>
      <protection locked="0"/>
    </xf>
    <xf numFmtId="2" fontId="0" fillId="0" borderId="154" xfId="0" applyNumberFormat="1" applyFill="1" applyBorder="1" applyAlignment="1" applyProtection="1">
      <alignment horizontal="left"/>
      <protection locked="0"/>
    </xf>
    <xf numFmtId="2" fontId="0" fillId="0" borderId="103" xfId="0" applyNumberFormat="1" applyFill="1" applyBorder="1" applyAlignment="1" applyProtection="1">
      <alignment horizontal="left"/>
      <protection locked="0"/>
    </xf>
    <xf numFmtId="2" fontId="0" fillId="0" borderId="168" xfId="0" applyNumberFormat="1" applyFill="1" applyBorder="1" applyAlignment="1" applyProtection="1">
      <alignment horizontal="left"/>
      <protection locked="0"/>
    </xf>
    <xf numFmtId="2" fontId="0" fillId="0" borderId="105" xfId="0" applyNumberFormat="1" applyFill="1" applyBorder="1" applyAlignment="1" applyProtection="1">
      <alignment horizontal="left"/>
      <protection locked="0"/>
    </xf>
    <xf numFmtId="2" fontId="0" fillId="0" borderId="166" xfId="0" applyNumberFormat="1" applyFill="1" applyBorder="1" applyAlignment="1" applyProtection="1">
      <alignment horizontal="left"/>
      <protection locked="0"/>
    </xf>
    <xf numFmtId="0" fontId="0" fillId="0" borderId="169" xfId="0" applyFill="1" applyBorder="1" applyAlignment="1">
      <alignment horizontal="center"/>
    </xf>
    <xf numFmtId="2" fontId="0" fillId="0" borderId="170" xfId="0" applyNumberFormat="1" applyFill="1" applyBorder="1" applyAlignment="1">
      <alignment horizontal="center"/>
    </xf>
    <xf numFmtId="0" fontId="0" fillId="0" borderId="170" xfId="0" applyFill="1" applyBorder="1" applyAlignment="1">
      <alignment horizontal="center"/>
    </xf>
    <xf numFmtId="0" fontId="0" fillId="0" borderId="169" xfId="0" applyBorder="1" applyAlignment="1">
      <alignment horizontal="center"/>
    </xf>
    <xf numFmtId="0" fontId="0" fillId="0" borderId="171" xfId="0" applyFill="1" applyBorder="1" applyAlignment="1">
      <alignment horizontal="center"/>
    </xf>
    <xf numFmtId="0" fontId="18" fillId="0" borderId="172" xfId="0" applyFont="1" applyBorder="1" applyAlignment="1">
      <alignment horizontal="left"/>
    </xf>
    <xf numFmtId="0" fontId="0" fillId="0" borderId="173" xfId="0" applyFill="1" applyBorder="1" applyAlignment="1" applyProtection="1">
      <alignment wrapText="1"/>
      <protection locked="0"/>
    </xf>
    <xf numFmtId="0" fontId="0" fillId="0" borderId="174" xfId="0" applyFill="1" applyBorder="1" applyAlignment="1" applyProtection="1">
      <alignment wrapText="1"/>
      <protection locked="0"/>
    </xf>
    <xf numFmtId="0" fontId="0" fillId="0" borderId="175" xfId="0" applyFill="1" applyBorder="1" applyAlignment="1" applyProtection="1">
      <alignment wrapText="1"/>
      <protection locked="0"/>
    </xf>
    <xf numFmtId="0" fontId="0" fillId="0" borderId="176" xfId="0" applyFill="1" applyBorder="1" applyAlignment="1" applyProtection="1">
      <alignment wrapText="1"/>
      <protection locked="0"/>
    </xf>
    <xf numFmtId="0" fontId="0" fillId="0" borderId="177" xfId="0" applyFill="1" applyBorder="1" applyAlignment="1" applyProtection="1">
      <alignment wrapText="1"/>
      <protection locked="0"/>
    </xf>
    <xf numFmtId="0" fontId="0" fillId="9" borderId="178" xfId="0" applyFill="1" applyBorder="1"/>
    <xf numFmtId="16" fontId="0" fillId="0" borderId="179" xfId="0" quotePrefix="1" applyNumberFormat="1" applyBorder="1"/>
    <xf numFmtId="0" fontId="0" fillId="0" borderId="180" xfId="0" applyBorder="1"/>
    <xf numFmtId="0" fontId="0" fillId="0" borderId="179" xfId="0" applyBorder="1"/>
    <xf numFmtId="0" fontId="0" fillId="0" borderId="179" xfId="0" applyFill="1" applyBorder="1"/>
    <xf numFmtId="0" fontId="0" fillId="0" borderId="180" xfId="0" applyFill="1" applyBorder="1"/>
    <xf numFmtId="0" fontId="0" fillId="0" borderId="181" xfId="0" applyFill="1" applyBorder="1" applyAlignment="1" applyProtection="1">
      <alignment horizontal="center"/>
      <protection locked="0"/>
    </xf>
    <xf numFmtId="0" fontId="0" fillId="0" borderId="182" xfId="0" applyFill="1" applyBorder="1" applyAlignment="1" applyProtection="1">
      <alignment horizontal="center"/>
      <protection locked="0"/>
    </xf>
    <xf numFmtId="0" fontId="0" fillId="0" borderId="183" xfId="0" applyFill="1" applyBorder="1" applyAlignment="1" applyProtection="1">
      <alignment horizontal="center"/>
      <protection locked="0"/>
    </xf>
    <xf numFmtId="0" fontId="0" fillId="0" borderId="184" xfId="0" applyFill="1" applyBorder="1" applyAlignment="1" applyProtection="1">
      <alignment horizontal="center"/>
      <protection locked="0"/>
    </xf>
    <xf numFmtId="0" fontId="0" fillId="0" borderId="185" xfId="0" applyFill="1" applyBorder="1" applyAlignment="1" applyProtection="1">
      <alignment horizontal="center"/>
      <protection locked="0"/>
    </xf>
    <xf numFmtId="0" fontId="0" fillId="0" borderId="186" xfId="0" applyFill="1" applyBorder="1" applyAlignment="1" applyProtection="1">
      <alignment horizontal="center"/>
      <protection locked="0"/>
    </xf>
    <xf numFmtId="0" fontId="21" fillId="14" borderId="135" xfId="0" applyFont="1" applyFill="1" applyBorder="1" applyAlignment="1" applyProtection="1">
      <alignment horizontal="center"/>
    </xf>
    <xf numFmtId="0" fontId="21" fillId="14" borderId="132" xfId="0" applyFont="1" applyFill="1" applyBorder="1" applyAlignment="1" applyProtection="1">
      <alignment horizontal="center"/>
    </xf>
    <xf numFmtId="0" fontId="21" fillId="14" borderId="148" xfId="0" applyFont="1" applyFill="1" applyBorder="1" applyAlignment="1" applyProtection="1">
      <alignment horizontal="center"/>
    </xf>
    <xf numFmtId="0" fontId="22" fillId="15" borderId="151" xfId="0" applyFont="1" applyFill="1" applyBorder="1" applyAlignment="1" applyProtection="1">
      <alignment horizontal="center" wrapText="1"/>
    </xf>
    <xf numFmtId="0" fontId="22" fillId="15" borderId="152" xfId="0" applyFont="1" applyFill="1" applyBorder="1" applyAlignment="1" applyProtection="1">
      <alignment horizontal="center" wrapText="1"/>
    </xf>
    <xf numFmtId="0" fontId="22" fillId="15" borderId="179" xfId="0" applyFont="1" applyFill="1" applyBorder="1" applyAlignment="1" applyProtection="1">
      <alignment horizontal="center" wrapText="1"/>
    </xf>
    <xf numFmtId="0" fontId="29" fillId="0" borderId="52" xfId="0" applyFont="1" applyBorder="1" applyAlignment="1">
      <alignment horizontal="center" vertical="center" wrapText="1"/>
    </xf>
    <xf numFmtId="0" fontId="29" fillId="0" borderId="53" xfId="0" applyFont="1" applyBorder="1" applyAlignment="1">
      <alignment horizontal="center" vertical="center" wrapText="1"/>
    </xf>
    <xf numFmtId="0" fontId="29" fillId="0" borderId="54" xfId="0" applyFont="1" applyBorder="1" applyAlignment="1">
      <alignment horizontal="center" vertical="center" wrapText="1"/>
    </xf>
    <xf numFmtId="0" fontId="29" fillId="0" borderId="55" xfId="0" applyFont="1" applyBorder="1" applyAlignment="1">
      <alignment horizontal="center" vertical="center" wrapText="1"/>
    </xf>
    <xf numFmtId="0" fontId="32" fillId="0" borderId="56" xfId="0" applyFont="1" applyBorder="1" applyAlignment="1">
      <alignment horizontal="center" vertical="center" wrapText="1"/>
    </xf>
    <xf numFmtId="0" fontId="29" fillId="0" borderId="57" xfId="0" applyFont="1" applyBorder="1" applyAlignment="1">
      <alignment horizontal="center" vertical="center" wrapText="1"/>
    </xf>
    <xf numFmtId="16" fontId="32" fillId="0" borderId="57" xfId="0" applyNumberFormat="1" applyFont="1" applyBorder="1" applyAlignment="1">
      <alignment horizontal="center" vertical="center" wrapText="1"/>
    </xf>
    <xf numFmtId="0" fontId="32" fillId="0" borderId="57" xfId="0" applyFont="1" applyBorder="1" applyAlignment="1">
      <alignment horizontal="center" vertical="center" wrapText="1"/>
    </xf>
    <xf numFmtId="0" fontId="29" fillId="8" borderId="57" xfId="0" applyFont="1" applyFill="1" applyBorder="1" applyAlignment="1">
      <alignment horizontal="center" vertical="center" wrapText="1"/>
    </xf>
    <xf numFmtId="0" fontId="34" fillId="0" borderId="71" xfId="0" applyFont="1" applyBorder="1"/>
    <xf numFmtId="0" fontId="30" fillId="0" borderId="71" xfId="0" applyFont="1" applyBorder="1"/>
    <xf numFmtId="0" fontId="31" fillId="0" borderId="71" xfId="3" applyFont="1" applyBorder="1"/>
    <xf numFmtId="0" fontId="11" fillId="4" borderId="0" xfId="0" applyFont="1" applyFill="1" applyBorder="1" applyAlignment="1">
      <alignment horizontal="right" vertical="center" wrapText="1"/>
    </xf>
    <xf numFmtId="0" fontId="21" fillId="14" borderId="134" xfId="0" applyFont="1" applyFill="1" applyBorder="1" applyAlignment="1" applyProtection="1">
      <alignment horizontal="center"/>
    </xf>
    <xf numFmtId="0" fontId="0" fillId="0" borderId="139" xfId="0" applyBorder="1" applyAlignment="1" applyProtection="1">
      <alignment horizontal="center"/>
      <protection locked="0"/>
    </xf>
    <xf numFmtId="0" fontId="0" fillId="0" borderId="140" xfId="0" applyBorder="1" applyAlignment="1" applyProtection="1">
      <alignment horizontal="center"/>
      <protection locked="0"/>
    </xf>
    <xf numFmtId="0" fontId="29" fillId="0" borderId="139" xfId="0" applyFont="1" applyBorder="1" applyAlignment="1" applyProtection="1">
      <alignment vertical="center" wrapText="1"/>
      <protection locked="0"/>
    </xf>
    <xf numFmtId="0" fontId="0" fillId="0" borderId="211" xfId="0" applyFill="1" applyBorder="1" applyAlignment="1" applyProtection="1">
      <alignment horizontal="center"/>
      <protection locked="0"/>
    </xf>
    <xf numFmtId="0" fontId="0" fillId="0" borderId="80" xfId="0" applyFont="1" applyBorder="1" applyAlignment="1">
      <alignment horizontal="left" wrapText="1"/>
    </xf>
    <xf numFmtId="0" fontId="0" fillId="0" borderId="76" xfId="0" applyFont="1" applyBorder="1" applyAlignment="1">
      <alignment horizontal="left" wrapText="1"/>
    </xf>
    <xf numFmtId="0" fontId="0" fillId="0" borderId="74" xfId="0" applyFont="1" applyBorder="1" applyAlignment="1">
      <alignment horizontal="left" wrapText="1"/>
    </xf>
    <xf numFmtId="0" fontId="0" fillId="0" borderId="80" xfId="0" applyBorder="1" applyAlignment="1">
      <alignment horizontal="left" wrapText="1"/>
    </xf>
    <xf numFmtId="0" fontId="0" fillId="0" borderId="76" xfId="0" applyBorder="1" applyAlignment="1">
      <alignment horizontal="left" wrapText="1"/>
    </xf>
    <xf numFmtId="0" fontId="0" fillId="0" borderId="74" xfId="0" applyBorder="1" applyAlignment="1">
      <alignment horizontal="left" wrapText="1"/>
    </xf>
    <xf numFmtId="0" fontId="21" fillId="0" borderId="80" xfId="0" applyFont="1" applyBorder="1" applyAlignment="1">
      <alignment horizontal="left" wrapText="1"/>
    </xf>
    <xf numFmtId="0" fontId="21" fillId="0" borderId="76" xfId="0" applyFont="1" applyBorder="1" applyAlignment="1">
      <alignment horizontal="left" wrapText="1"/>
    </xf>
    <xf numFmtId="0" fontId="21" fillId="0" borderId="74" xfId="0" applyFont="1" applyBorder="1" applyAlignment="1">
      <alignment horizontal="left" wrapText="1"/>
    </xf>
    <xf numFmtId="0" fontId="0" fillId="0" borderId="80" xfId="0" applyBorder="1" applyAlignment="1">
      <alignment horizontal="left" vertical="top" wrapText="1"/>
    </xf>
    <xf numFmtId="0" fontId="0" fillId="0" borderId="76" xfId="0" applyBorder="1" applyAlignment="1">
      <alignment horizontal="left" vertical="top" wrapText="1"/>
    </xf>
    <xf numFmtId="0" fontId="0" fillId="0" borderId="74" xfId="0" applyBorder="1" applyAlignment="1">
      <alignment horizontal="left" vertical="top" wrapText="1"/>
    </xf>
    <xf numFmtId="0" fontId="0" fillId="0" borderId="76" xfId="0" applyBorder="1" applyAlignment="1">
      <alignment horizontal="left" vertical="top"/>
    </xf>
    <xf numFmtId="0" fontId="0" fillId="0" borderId="74" xfId="0" applyBorder="1" applyAlignment="1">
      <alignment horizontal="left" vertical="top"/>
    </xf>
    <xf numFmtId="0" fontId="0" fillId="0" borderId="80" xfId="0" applyBorder="1" applyAlignment="1">
      <alignment horizontal="left" vertical="top"/>
    </xf>
    <xf numFmtId="0" fontId="0" fillId="0" borderId="80" xfId="0" applyFont="1" applyBorder="1" applyAlignment="1">
      <alignment horizontal="left" vertical="top" wrapText="1"/>
    </xf>
    <xf numFmtId="0" fontId="0" fillId="0" borderId="76" xfId="0" applyFont="1" applyBorder="1" applyAlignment="1">
      <alignment horizontal="left" vertical="top" wrapText="1"/>
    </xf>
    <xf numFmtId="0" fontId="0" fillId="0" borderId="74" xfId="0" applyFont="1" applyBorder="1" applyAlignment="1">
      <alignment horizontal="left" vertical="top" wrapText="1"/>
    </xf>
    <xf numFmtId="0" fontId="0" fillId="0" borderId="81" xfId="0" applyBorder="1" applyAlignment="1">
      <alignment horizontal="left" vertical="top"/>
    </xf>
    <xf numFmtId="0" fontId="0" fillId="0" borderId="86" xfId="0" applyBorder="1" applyAlignment="1">
      <alignment horizontal="left" vertical="top"/>
    </xf>
    <xf numFmtId="0" fontId="0" fillId="0" borderId="82" xfId="0" applyBorder="1" applyAlignment="1">
      <alignment horizontal="left" vertical="top"/>
    </xf>
    <xf numFmtId="0" fontId="0" fillId="0" borderId="78"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0" xfId="0" applyBorder="1" applyAlignment="1">
      <alignment horizontal="left" vertical="top"/>
    </xf>
    <xf numFmtId="0" fontId="0" fillId="0" borderId="75" xfId="0" applyBorder="1" applyAlignment="1">
      <alignment horizontal="left" vertical="top"/>
    </xf>
    <xf numFmtId="0" fontId="18" fillId="0" borderId="80" xfId="0" applyFont="1" applyBorder="1" applyAlignment="1">
      <alignment horizontal="center" wrapText="1"/>
    </xf>
    <xf numFmtId="0" fontId="18" fillId="0" borderId="76" xfId="0" applyFont="1" applyBorder="1" applyAlignment="1">
      <alignment horizontal="center" wrapText="1"/>
    </xf>
    <xf numFmtId="0" fontId="18" fillId="0" borderId="74" xfId="0" applyFont="1" applyBorder="1" applyAlignment="1">
      <alignment horizontal="center" wrapText="1"/>
    </xf>
    <xf numFmtId="0" fontId="0" fillId="0" borderId="42" xfId="0" applyBorder="1" applyAlignment="1">
      <alignment horizontal="center" wrapText="1"/>
    </xf>
    <xf numFmtId="0" fontId="0" fillId="3" borderId="63" xfId="0" applyNumberFormat="1" applyFill="1" applyBorder="1" applyAlignment="1" applyProtection="1">
      <alignment horizontal="center"/>
      <protection locked="0"/>
    </xf>
    <xf numFmtId="0" fontId="0" fillId="3" borderId="64" xfId="0" applyNumberFormat="1" applyFill="1" applyBorder="1" applyAlignment="1" applyProtection="1">
      <alignment horizontal="center"/>
      <protection locked="0"/>
    </xf>
    <xf numFmtId="14" fontId="0" fillId="13" borderId="24" xfId="0" applyNumberFormat="1" applyFill="1" applyBorder="1" applyAlignment="1" applyProtection="1">
      <alignment horizontal="center"/>
      <protection locked="0"/>
    </xf>
    <xf numFmtId="14" fontId="0" fillId="13" borderId="58" xfId="0" applyNumberFormat="1" applyFill="1" applyBorder="1" applyAlignment="1" applyProtection="1">
      <alignment horizontal="center"/>
      <protection locked="0"/>
    </xf>
    <xf numFmtId="14" fontId="0" fillId="3" borderId="24" xfId="0" applyNumberFormat="1" applyFill="1" applyBorder="1" applyAlignment="1" applyProtection="1">
      <alignment horizontal="center"/>
      <protection locked="0"/>
    </xf>
    <xf numFmtId="14" fontId="0" fillId="3" borderId="58" xfId="0" applyNumberFormat="1" applyFill="1" applyBorder="1" applyAlignment="1" applyProtection="1">
      <alignment horizontal="center"/>
      <protection locked="0"/>
    </xf>
    <xf numFmtId="0" fontId="21" fillId="0" borderId="12" xfId="0" applyFont="1" applyBorder="1" applyAlignment="1">
      <alignment horizontal="left"/>
    </xf>
    <xf numFmtId="0" fontId="21" fillId="0" borderId="6" xfId="0" applyFont="1" applyBorder="1" applyAlignment="1">
      <alignment horizontal="left"/>
    </xf>
    <xf numFmtId="0" fontId="0" fillId="3" borderId="0" xfId="0" applyFill="1" applyBorder="1" applyAlignment="1" applyProtection="1">
      <alignment horizontal="center"/>
      <protection locked="0"/>
    </xf>
    <xf numFmtId="14" fontId="0" fillId="13" borderId="42" xfId="0" applyNumberFormat="1" applyFill="1" applyBorder="1" applyAlignment="1" applyProtection="1">
      <alignment horizontal="center"/>
      <protection locked="0"/>
    </xf>
    <xf numFmtId="14" fontId="0" fillId="13" borderId="0" xfId="0" applyNumberFormat="1" applyFill="1" applyBorder="1" applyAlignment="1" applyProtection="1">
      <alignment horizontal="center"/>
      <protection locked="0"/>
    </xf>
    <xf numFmtId="14" fontId="0" fillId="13" borderId="48" xfId="0" applyNumberFormat="1" applyFill="1" applyBorder="1" applyAlignment="1" applyProtection="1">
      <alignment horizontal="center"/>
      <protection locked="0"/>
    </xf>
    <xf numFmtId="0" fontId="0" fillId="3" borderId="48" xfId="0" applyNumberFormat="1" applyFill="1" applyBorder="1" applyAlignment="1" applyProtection="1">
      <alignment horizontal="center"/>
      <protection locked="0"/>
    </xf>
    <xf numFmtId="0" fontId="0" fillId="0" borderId="50" xfId="0" applyBorder="1" applyAlignment="1">
      <alignment horizontal="left" vertical="top" wrapText="1"/>
    </xf>
    <xf numFmtId="0" fontId="0" fillId="0" borderId="51" xfId="0" applyBorder="1" applyAlignment="1">
      <alignment horizontal="left" vertical="top" wrapText="1"/>
    </xf>
    <xf numFmtId="0" fontId="0" fillId="0" borderId="42" xfId="0" applyBorder="1" applyAlignment="1">
      <alignment horizontal="left" vertical="top" wrapText="1"/>
    </xf>
    <xf numFmtId="0" fontId="0" fillId="0" borderId="0" xfId="0" applyBorder="1" applyAlignment="1">
      <alignment horizontal="left" vertical="top" wrapText="1"/>
    </xf>
    <xf numFmtId="0" fontId="0" fillId="0" borderId="41" xfId="0" applyBorder="1" applyAlignment="1">
      <alignment horizontal="left" vertical="top" wrapText="1"/>
    </xf>
    <xf numFmtId="0" fontId="0" fillId="0" borderId="48" xfId="0" applyBorder="1" applyAlignment="1">
      <alignment horizontal="left" vertical="top" wrapText="1"/>
    </xf>
    <xf numFmtId="0" fontId="0" fillId="3" borderId="41" xfId="0" applyNumberFormat="1" applyFill="1" applyBorder="1" applyAlignment="1" applyProtection="1">
      <alignment horizontal="left"/>
      <protection locked="0"/>
    </xf>
    <xf numFmtId="0" fontId="0" fillId="3" borderId="48" xfId="0" applyNumberFormat="1" applyFill="1" applyBorder="1" applyAlignment="1" applyProtection="1">
      <alignment horizontal="left"/>
      <protection locked="0"/>
    </xf>
    <xf numFmtId="0" fontId="0" fillId="3" borderId="50" xfId="0" applyNumberFormat="1" applyFont="1" applyFill="1" applyBorder="1" applyAlignment="1" applyProtection="1">
      <alignment horizontal="left"/>
      <protection locked="0"/>
    </xf>
    <xf numFmtId="0" fontId="0" fillId="3" borderId="51" xfId="0" applyNumberFormat="1" applyFont="1" applyFill="1" applyBorder="1" applyAlignment="1" applyProtection="1">
      <alignment horizontal="left"/>
      <protection locked="0"/>
    </xf>
    <xf numFmtId="0" fontId="0" fillId="3" borderId="2" xfId="0" applyNumberFormat="1" applyFill="1" applyBorder="1" applyAlignment="1" applyProtection="1">
      <alignment horizontal="left"/>
      <protection locked="0"/>
    </xf>
    <xf numFmtId="0" fontId="0" fillId="3" borderId="65" xfId="0" applyNumberFormat="1" applyFill="1" applyBorder="1" applyAlignment="1" applyProtection="1">
      <alignment horizontal="left"/>
      <protection locked="0"/>
    </xf>
    <xf numFmtId="0" fontId="0" fillId="3" borderId="0" xfId="0" applyNumberFormat="1" applyFill="1" applyBorder="1" applyAlignment="1" applyProtection="1">
      <alignment horizontal="left" vertical="top" wrapText="1"/>
      <protection locked="0"/>
    </xf>
    <xf numFmtId="0" fontId="23" fillId="0" borderId="13" xfId="0" applyFont="1" applyBorder="1" applyAlignment="1">
      <alignment horizontal="left" wrapText="1"/>
    </xf>
    <xf numFmtId="0" fontId="23" fillId="0" borderId="17" xfId="0" applyFont="1" applyBorder="1" applyAlignment="1">
      <alignment horizontal="left" wrapText="1"/>
    </xf>
    <xf numFmtId="0" fontId="23" fillId="0" borderId="14" xfId="0" applyFont="1" applyBorder="1" applyAlignment="1">
      <alignment horizontal="left" wrapText="1"/>
    </xf>
    <xf numFmtId="0" fontId="23" fillId="0" borderId="10" xfId="0" applyFont="1" applyBorder="1" applyAlignment="1">
      <alignment horizontal="left" wrapText="1"/>
    </xf>
    <xf numFmtId="0" fontId="23" fillId="0" borderId="4" xfId="0" applyFont="1" applyBorder="1" applyAlignment="1">
      <alignment horizontal="left" wrapText="1"/>
    </xf>
    <xf numFmtId="0" fontId="23" fillId="0" borderId="5" xfId="0" applyFont="1" applyBorder="1" applyAlignment="1">
      <alignment horizontal="left" wrapText="1"/>
    </xf>
    <xf numFmtId="0" fontId="0" fillId="3" borderId="66" xfId="0" applyFill="1" applyBorder="1" applyAlignment="1" applyProtection="1">
      <alignment horizontal="left"/>
      <protection locked="0"/>
    </xf>
    <xf numFmtId="0" fontId="0" fillId="3" borderId="0" xfId="0" applyFill="1" applyBorder="1" applyAlignment="1" applyProtection="1">
      <alignment horizontal="left"/>
      <protection locked="0"/>
    </xf>
    <xf numFmtId="0" fontId="0" fillId="3" borderId="67" xfId="0" applyFill="1" applyBorder="1" applyAlignment="1" applyProtection="1">
      <alignment horizontal="left"/>
      <protection locked="0"/>
    </xf>
    <xf numFmtId="0" fontId="0" fillId="0" borderId="42" xfId="0" applyBorder="1" applyAlignment="1">
      <alignment horizontal="left"/>
    </xf>
    <xf numFmtId="0" fontId="0" fillId="0" borderId="0" xfId="0" applyBorder="1" applyAlignment="1">
      <alignment horizontal="left"/>
    </xf>
    <xf numFmtId="0" fontId="0" fillId="6" borderId="48" xfId="0" applyNumberFormat="1" applyFill="1" applyBorder="1" applyAlignment="1" applyProtection="1">
      <alignment horizontal="center"/>
      <protection locked="0"/>
    </xf>
    <xf numFmtId="0" fontId="0" fillId="3" borderId="0" xfId="0" applyNumberFormat="1" applyFill="1" applyBorder="1" applyAlignment="1" applyProtection="1">
      <alignment horizontal="left" vertical="top"/>
      <protection locked="0"/>
    </xf>
    <xf numFmtId="0" fontId="0" fillId="3" borderId="68" xfId="0" applyNumberFormat="1" applyFill="1" applyBorder="1" applyAlignment="1" applyProtection="1">
      <alignment horizontal="left"/>
      <protection locked="0"/>
    </xf>
    <xf numFmtId="0" fontId="0" fillId="0" borderId="110" xfId="0" applyBorder="1" applyAlignment="1">
      <alignment horizontal="center"/>
    </xf>
    <xf numFmtId="0" fontId="0" fillId="0" borderId="86" xfId="0" applyBorder="1" applyAlignment="1">
      <alignment horizontal="center"/>
    </xf>
    <xf numFmtId="0" fontId="0" fillId="0" borderId="82" xfId="0" applyBorder="1" applyAlignment="1">
      <alignment horizontal="center"/>
    </xf>
    <xf numFmtId="0" fontId="0" fillId="0" borderId="42" xfId="0" applyBorder="1" applyAlignment="1">
      <alignment horizontal="center"/>
    </xf>
    <xf numFmtId="0" fontId="0" fillId="0" borderId="0" xfId="0" applyBorder="1" applyAlignment="1">
      <alignment horizontal="center"/>
    </xf>
    <xf numFmtId="0" fontId="0" fillId="0" borderId="75" xfId="0" applyBorder="1" applyAlignment="1">
      <alignment horizontal="center"/>
    </xf>
    <xf numFmtId="0" fontId="0" fillId="0" borderId="187" xfId="0" applyBorder="1" applyAlignment="1">
      <alignment horizontal="center" wrapText="1"/>
    </xf>
    <xf numFmtId="0" fontId="0" fillId="0" borderId="112" xfId="0" applyBorder="1" applyAlignment="1">
      <alignment horizontal="center" wrapText="1"/>
    </xf>
    <xf numFmtId="0" fontId="0" fillId="0" borderId="188" xfId="0" applyBorder="1" applyAlignment="1">
      <alignment horizontal="center" wrapText="1"/>
    </xf>
    <xf numFmtId="0" fontId="18" fillId="3" borderId="48" xfId="0" applyNumberFormat="1" applyFont="1" applyFill="1" applyBorder="1" applyAlignment="1" applyProtection="1">
      <alignment horizontal="left"/>
      <protection locked="0"/>
    </xf>
    <xf numFmtId="0" fontId="0" fillId="3" borderId="24" xfId="0" applyFill="1" applyBorder="1" applyAlignment="1" applyProtection="1">
      <alignment horizontal="left"/>
      <protection locked="0"/>
    </xf>
    <xf numFmtId="0" fontId="0" fillId="3" borderId="58" xfId="0" applyFill="1" applyBorder="1" applyAlignment="1" applyProtection="1">
      <alignment horizontal="left"/>
      <protection locked="0"/>
    </xf>
    <xf numFmtId="0" fontId="0" fillId="0" borderId="59" xfId="4" applyNumberFormat="1" applyFont="1" applyBorder="1" applyAlignment="1">
      <alignment horizontal="left"/>
    </xf>
    <xf numFmtId="0" fontId="14" fillId="0" borderId="59" xfId="4" applyNumberFormat="1" applyBorder="1" applyAlignment="1">
      <alignment horizontal="left"/>
    </xf>
    <xf numFmtId="0" fontId="14" fillId="0" borderId="0" xfId="4" applyAlignment="1">
      <alignment horizontal="left" wrapText="1"/>
    </xf>
    <xf numFmtId="0" fontId="0" fillId="3" borderId="60" xfId="0" applyFill="1" applyBorder="1" applyAlignment="1" applyProtection="1">
      <alignment horizontal="center"/>
      <protection locked="0"/>
    </xf>
    <xf numFmtId="0" fontId="0" fillId="3" borderId="61" xfId="0" applyFill="1" applyBorder="1" applyAlignment="1" applyProtection="1">
      <alignment horizontal="center"/>
      <protection locked="0"/>
    </xf>
    <xf numFmtId="0" fontId="0" fillId="3" borderId="62" xfId="0" applyFill="1" applyBorder="1" applyAlignment="1" applyProtection="1">
      <alignment horizontal="center"/>
      <protection locked="0"/>
    </xf>
    <xf numFmtId="0" fontId="0" fillId="3" borderId="64" xfId="0" applyFill="1" applyBorder="1" applyAlignment="1" applyProtection="1">
      <alignment horizontal="center"/>
      <protection locked="0"/>
    </xf>
    <xf numFmtId="0" fontId="0" fillId="3" borderId="0" xfId="0" applyNumberFormat="1" applyFill="1" applyBorder="1" applyAlignment="1" applyProtection="1">
      <alignment horizontal="center" wrapText="1"/>
      <protection locked="0"/>
    </xf>
    <xf numFmtId="0" fontId="0" fillId="3" borderId="0" xfId="0" applyNumberFormat="1" applyFill="1" applyBorder="1" applyAlignment="1" applyProtection="1">
      <alignment horizontal="center"/>
      <protection locked="0"/>
    </xf>
    <xf numFmtId="0" fontId="0" fillId="0" borderId="69" xfId="0" applyFont="1" applyBorder="1" applyAlignment="1" applyProtection="1">
      <alignment horizontal="center"/>
      <protection locked="0"/>
    </xf>
    <xf numFmtId="0" fontId="0" fillId="0" borderId="70" xfId="0" applyFont="1" applyBorder="1" applyAlignment="1" applyProtection="1">
      <alignment horizontal="center"/>
      <protection locked="0"/>
    </xf>
    <xf numFmtId="0" fontId="0" fillId="0" borderId="56" xfId="0" applyFont="1" applyBorder="1" applyAlignment="1" applyProtection="1">
      <alignment horizontal="center"/>
      <protection locked="0"/>
    </xf>
    <xf numFmtId="0" fontId="23" fillId="0" borderId="37" xfId="0" applyFont="1" applyBorder="1" applyAlignment="1">
      <alignment horizontal="center"/>
    </xf>
    <xf numFmtId="0" fontId="0" fillId="0" borderId="69" xfId="0" applyBorder="1" applyAlignment="1" applyProtection="1">
      <alignment horizontal="center"/>
      <protection locked="0"/>
    </xf>
    <xf numFmtId="0" fontId="0" fillId="0" borderId="70" xfId="0" applyBorder="1" applyAlignment="1" applyProtection="1">
      <alignment horizontal="center"/>
      <protection locked="0"/>
    </xf>
    <xf numFmtId="0" fontId="0" fillId="0" borderId="56" xfId="0" applyBorder="1" applyAlignment="1" applyProtection="1">
      <alignment horizontal="center"/>
      <protection locked="0"/>
    </xf>
    <xf numFmtId="0" fontId="33" fillId="8" borderId="179" xfId="0" applyFont="1" applyFill="1" applyBorder="1" applyAlignment="1">
      <alignment horizontal="center" vertical="center"/>
    </xf>
    <xf numFmtId="0" fontId="33" fillId="8" borderId="189" xfId="0" applyFont="1" applyFill="1" applyBorder="1" applyAlignment="1">
      <alignment horizontal="center" vertical="center"/>
    </xf>
    <xf numFmtId="0" fontId="0" fillId="16" borderId="167" xfId="0" applyFill="1" applyBorder="1" applyAlignment="1">
      <alignment horizontal="center" vertical="center" wrapText="1"/>
    </xf>
    <xf numFmtId="0" fontId="0" fillId="16" borderId="190" xfId="0" applyFill="1" applyBorder="1" applyAlignment="1">
      <alignment horizontal="center" vertical="center" wrapText="1"/>
    </xf>
    <xf numFmtId="0" fontId="0" fillId="16" borderId="140" xfId="0" applyFill="1" applyBorder="1" applyAlignment="1">
      <alignment horizontal="center" vertical="center" wrapText="1"/>
    </xf>
    <xf numFmtId="0" fontId="0" fillId="16" borderId="191" xfId="0" applyFill="1" applyBorder="1" applyAlignment="1">
      <alignment horizontal="center" vertical="center" wrapText="1"/>
    </xf>
    <xf numFmtId="0" fontId="23" fillId="16" borderId="134" xfId="0" applyFont="1" applyFill="1" applyBorder="1" applyAlignment="1">
      <alignment horizontal="center" vertical="center" wrapText="1"/>
    </xf>
    <xf numFmtId="0" fontId="23" fillId="16" borderId="192" xfId="0" applyFont="1" applyFill="1" applyBorder="1" applyAlignment="1">
      <alignment horizontal="center" vertical="center" wrapText="1"/>
    </xf>
    <xf numFmtId="0" fontId="5" fillId="16" borderId="193" xfId="0" applyFont="1" applyFill="1" applyBorder="1" applyAlignment="1" applyProtection="1">
      <alignment horizontal="center" vertical="center" wrapText="1"/>
    </xf>
    <xf numFmtId="0" fontId="5" fillId="16" borderId="146" xfId="0" applyFont="1" applyFill="1" applyBorder="1" applyAlignment="1" applyProtection="1">
      <alignment horizontal="center" vertical="center" wrapText="1"/>
    </xf>
    <xf numFmtId="0" fontId="5" fillId="16" borderId="194" xfId="0" applyFont="1" applyFill="1" applyBorder="1" applyAlignment="1" applyProtection="1">
      <alignment horizontal="center" vertical="center" wrapText="1"/>
    </xf>
    <xf numFmtId="0" fontId="5" fillId="16" borderId="195" xfId="0" applyFont="1" applyFill="1" applyBorder="1" applyAlignment="1" applyProtection="1">
      <alignment horizontal="center" vertical="center" wrapText="1"/>
    </xf>
    <xf numFmtId="0" fontId="5" fillId="16" borderId="196" xfId="0" applyFont="1" applyFill="1" applyBorder="1" applyAlignment="1" applyProtection="1">
      <alignment horizontal="center" vertical="center" wrapText="1"/>
    </xf>
    <xf numFmtId="0" fontId="5" fillId="16" borderId="197" xfId="0" applyFont="1" applyFill="1" applyBorder="1" applyAlignment="1" applyProtection="1">
      <alignment horizontal="center" vertical="center" wrapText="1"/>
    </xf>
    <xf numFmtId="0" fontId="5" fillId="17" borderId="178" xfId="0" applyFont="1" applyFill="1" applyBorder="1" applyAlignment="1">
      <alignment horizontal="center" vertical="center" wrapText="1"/>
    </xf>
    <xf numFmtId="0" fontId="5" fillId="17" borderId="179" xfId="0" applyFont="1" applyFill="1" applyBorder="1" applyAlignment="1">
      <alignment horizontal="center" vertical="center" wrapText="1"/>
    </xf>
    <xf numFmtId="0" fontId="0" fillId="0" borderId="179" xfId="0" applyBorder="1" applyAlignment="1">
      <alignment horizontal="center" vertical="center" wrapText="1"/>
    </xf>
    <xf numFmtId="0" fontId="0" fillId="0" borderId="189" xfId="0" applyBorder="1" applyAlignment="1">
      <alignment horizontal="center" vertical="center" wrapText="1"/>
    </xf>
    <xf numFmtId="0" fontId="23" fillId="0" borderId="0" xfId="0" applyFont="1" applyAlignment="1">
      <alignment horizontal="center"/>
    </xf>
    <xf numFmtId="0" fontId="21" fillId="0" borderId="69" xfId="0" applyFont="1" applyBorder="1" applyAlignment="1" applyProtection="1">
      <alignment horizontal="center"/>
      <protection locked="0"/>
    </xf>
    <xf numFmtId="0" fontId="21" fillId="0" borderId="70" xfId="0" applyFont="1" applyBorder="1" applyAlignment="1" applyProtection="1">
      <alignment horizontal="center"/>
      <protection locked="0"/>
    </xf>
    <xf numFmtId="0" fontId="21" fillId="0" borderId="56" xfId="0" applyFont="1" applyBorder="1" applyAlignment="1" applyProtection="1">
      <alignment horizontal="center"/>
      <protection locked="0"/>
    </xf>
    <xf numFmtId="0" fontId="18" fillId="18" borderId="198" xfId="0" applyFont="1" applyFill="1" applyBorder="1" applyAlignment="1">
      <alignment horizontal="center"/>
    </xf>
    <xf numFmtId="0" fontId="18" fillId="18" borderId="161" xfId="0" applyFont="1" applyFill="1" applyBorder="1" applyAlignment="1">
      <alignment horizontal="center"/>
    </xf>
    <xf numFmtId="0" fontId="18" fillId="18" borderId="162" xfId="0" applyFont="1" applyFill="1" applyBorder="1" applyAlignment="1">
      <alignment horizontal="center"/>
    </xf>
    <xf numFmtId="0" fontId="17" fillId="10" borderId="199" xfId="0" applyFont="1" applyFill="1" applyBorder="1" applyAlignment="1">
      <alignment horizontal="center" textRotation="90" wrapText="1"/>
    </xf>
    <xf numFmtId="0" fontId="17" fillId="10" borderId="200" xfId="0" applyFont="1" applyFill="1" applyBorder="1" applyAlignment="1">
      <alignment horizontal="center" textRotation="90" wrapText="1"/>
    </xf>
    <xf numFmtId="0" fontId="17" fillId="10" borderId="201" xfId="0" applyFont="1" applyFill="1" applyBorder="1" applyAlignment="1">
      <alignment horizontal="center" textRotation="90" wrapText="1"/>
    </xf>
    <xf numFmtId="0" fontId="18" fillId="2" borderId="193" xfId="0" applyFont="1" applyFill="1" applyBorder="1" applyAlignment="1">
      <alignment horizontal="center"/>
    </xf>
    <xf numFmtId="0" fontId="18" fillId="2" borderId="146" xfId="0" applyFont="1" applyFill="1" applyBorder="1" applyAlignment="1">
      <alignment horizontal="center"/>
    </xf>
    <xf numFmtId="0" fontId="18" fillId="2" borderId="202" xfId="0" applyFont="1" applyFill="1" applyBorder="1" applyAlignment="1">
      <alignment horizontal="center"/>
    </xf>
    <xf numFmtId="0" fontId="21" fillId="16" borderId="134" xfId="0" applyFont="1" applyFill="1" applyBorder="1" applyAlignment="1">
      <alignment horizontal="center" vertical="center" wrapText="1"/>
    </xf>
    <xf numFmtId="0" fontId="21" fillId="16" borderId="192" xfId="0" applyFont="1" applyFill="1" applyBorder="1" applyAlignment="1">
      <alignment horizontal="center" vertical="center" wrapText="1"/>
    </xf>
    <xf numFmtId="0" fontId="11" fillId="4" borderId="0" xfId="0" applyFont="1" applyFill="1" applyBorder="1" applyAlignment="1">
      <alignment horizontal="left" wrapText="1"/>
    </xf>
    <xf numFmtId="0" fontId="11" fillId="4" borderId="48" xfId="0" applyFont="1" applyFill="1" applyBorder="1" applyAlignment="1">
      <alignment horizontal="left" wrapText="1"/>
    </xf>
    <xf numFmtId="0" fontId="11" fillId="4" borderId="0" xfId="0" applyFont="1" applyFill="1" applyBorder="1" applyAlignment="1">
      <alignment horizontal="center" wrapText="1"/>
    </xf>
    <xf numFmtId="0" fontId="11" fillId="4" borderId="48" xfId="0" applyFont="1" applyFill="1" applyBorder="1" applyAlignment="1">
      <alignment horizontal="center" wrapText="1"/>
    </xf>
    <xf numFmtId="0" fontId="11" fillId="4" borderId="37" xfId="0" applyFont="1" applyFill="1" applyBorder="1" applyAlignment="1">
      <alignment horizontal="center" wrapText="1"/>
    </xf>
    <xf numFmtId="0" fontId="5" fillId="16" borderId="203" xfId="0" applyFont="1" applyFill="1" applyBorder="1" applyAlignment="1">
      <alignment horizontal="center" vertical="center" wrapText="1"/>
    </xf>
    <xf numFmtId="0" fontId="5" fillId="16" borderId="204" xfId="0" applyFont="1" applyFill="1" applyBorder="1" applyAlignment="1">
      <alignment horizontal="center" vertical="center" wrapText="1"/>
    </xf>
    <xf numFmtId="0" fontId="5" fillId="16" borderId="205" xfId="0" applyFont="1" applyFill="1" applyBorder="1" applyAlignment="1">
      <alignment horizontal="center" vertical="center" wrapText="1"/>
    </xf>
    <xf numFmtId="0" fontId="5" fillId="16" borderId="195" xfId="0" applyFont="1" applyFill="1" applyBorder="1" applyAlignment="1">
      <alignment horizontal="center" vertical="center" wrapText="1"/>
    </xf>
    <xf numFmtId="0" fontId="5" fillId="16" borderId="196" xfId="0" applyFont="1" applyFill="1" applyBorder="1" applyAlignment="1">
      <alignment horizontal="center" vertical="center" wrapText="1"/>
    </xf>
    <xf numFmtId="0" fontId="5" fillId="16" borderId="197" xfId="0" applyFont="1" applyFill="1" applyBorder="1" applyAlignment="1">
      <alignment horizontal="center" vertical="center" wrapText="1"/>
    </xf>
    <xf numFmtId="0" fontId="0" fillId="16" borderId="134" xfId="0" applyFill="1" applyBorder="1" applyAlignment="1">
      <alignment horizontal="center" vertical="center" wrapText="1"/>
    </xf>
    <xf numFmtId="0" fontId="0" fillId="16" borderId="192" xfId="0" applyFill="1" applyBorder="1" applyAlignment="1">
      <alignment horizontal="center" vertical="center" wrapText="1"/>
    </xf>
    <xf numFmtId="0" fontId="18" fillId="19" borderId="198" xfId="0" applyFont="1" applyFill="1" applyBorder="1" applyAlignment="1">
      <alignment horizontal="center"/>
    </xf>
    <xf numFmtId="0" fontId="18" fillId="19" borderId="161" xfId="0" applyFont="1" applyFill="1" applyBorder="1" applyAlignment="1">
      <alignment horizontal="center"/>
    </xf>
    <xf numFmtId="0" fontId="18" fillId="19" borderId="162" xfId="0" applyFont="1" applyFill="1" applyBorder="1" applyAlignment="1">
      <alignment horizontal="center"/>
    </xf>
    <xf numFmtId="0" fontId="5" fillId="17" borderId="194" xfId="0" applyFont="1" applyFill="1" applyBorder="1" applyAlignment="1">
      <alignment horizontal="center" vertical="center" wrapText="1"/>
    </xf>
    <xf numFmtId="0" fontId="5" fillId="17" borderId="206" xfId="0" applyFont="1" applyFill="1" applyBorder="1" applyAlignment="1">
      <alignment horizontal="center" vertical="center" wrapText="1"/>
    </xf>
    <xf numFmtId="0" fontId="0" fillId="0" borderId="0" xfId="0" applyBorder="1" applyAlignment="1">
      <alignment horizontal="center" vertical="center" wrapText="1"/>
    </xf>
    <xf numFmtId="0" fontId="0" fillId="0" borderId="48" xfId="0" applyBorder="1" applyAlignment="1">
      <alignment horizontal="center" vertical="center" wrapText="1"/>
    </xf>
    <xf numFmtId="0" fontId="18" fillId="20" borderId="193" xfId="0" applyFont="1" applyFill="1" applyBorder="1" applyAlignment="1">
      <alignment horizontal="center"/>
    </xf>
    <xf numFmtId="0" fontId="18" fillId="20" borderId="146" xfId="0" applyFont="1" applyFill="1" applyBorder="1" applyAlignment="1">
      <alignment horizontal="center"/>
    </xf>
    <xf numFmtId="0" fontId="18" fillId="20" borderId="194" xfId="0" applyFont="1" applyFill="1" applyBorder="1" applyAlignment="1">
      <alignment horizontal="center"/>
    </xf>
    <xf numFmtId="0" fontId="5" fillId="16" borderId="207" xfId="0" applyFont="1" applyFill="1" applyBorder="1" applyAlignment="1" applyProtection="1">
      <alignment horizontal="center" vertical="center" wrapText="1"/>
    </xf>
    <xf numFmtId="0" fontId="5" fillId="16" borderId="208" xfId="0" applyFont="1" applyFill="1" applyBorder="1" applyAlignment="1" applyProtection="1">
      <alignment horizontal="center" vertical="center" wrapText="1"/>
    </xf>
    <xf numFmtId="0" fontId="0" fillId="16" borderId="169" xfId="0" applyFill="1" applyBorder="1" applyAlignment="1">
      <alignment horizontal="center" vertical="center" wrapText="1"/>
    </xf>
    <xf numFmtId="0" fontId="0" fillId="16" borderId="172" xfId="0" applyFill="1" applyBorder="1" applyAlignment="1">
      <alignment horizontal="center" vertical="center" wrapText="1"/>
    </xf>
    <xf numFmtId="0" fontId="0" fillId="16" borderId="139" xfId="0" applyFill="1" applyBorder="1" applyAlignment="1">
      <alignment horizontal="center" vertical="center" wrapText="1"/>
    </xf>
    <xf numFmtId="0" fontId="0" fillId="16" borderId="209" xfId="0" applyFill="1" applyBorder="1" applyAlignment="1">
      <alignment horizontal="center" vertical="center" wrapText="1"/>
    </xf>
    <xf numFmtId="0" fontId="0" fillId="0" borderId="206" xfId="0" applyBorder="1" applyAlignment="1">
      <alignment horizontal="center" vertical="center" wrapText="1"/>
    </xf>
    <xf numFmtId="0" fontId="0" fillId="0" borderId="210" xfId="0" applyBorder="1" applyAlignment="1">
      <alignment horizontal="center" vertical="center" wrapText="1"/>
    </xf>
    <xf numFmtId="0" fontId="25" fillId="12" borderId="131" xfId="0" applyFont="1" applyFill="1" applyBorder="1" applyAlignment="1">
      <alignment horizontal="center"/>
    </xf>
    <xf numFmtId="0" fontId="25" fillId="12" borderId="165" xfId="0" applyFont="1" applyFill="1" applyBorder="1" applyAlignment="1">
      <alignment horizontal="center"/>
    </xf>
    <xf numFmtId="0" fontId="25" fillId="12" borderId="102" xfId="0" applyFont="1" applyFill="1" applyBorder="1" applyAlignment="1">
      <alignment horizontal="center"/>
    </xf>
    <xf numFmtId="0" fontId="32" fillId="0" borderId="69" xfId="0" applyFont="1" applyBorder="1" applyAlignment="1">
      <alignment horizontal="center" vertical="center" wrapText="1"/>
    </xf>
    <xf numFmtId="0" fontId="32" fillId="0" borderId="70" xfId="0" applyFont="1" applyBorder="1" applyAlignment="1">
      <alignment horizontal="center" vertical="center" wrapText="1"/>
    </xf>
    <xf numFmtId="0" fontId="32" fillId="0" borderId="56" xfId="0" applyFont="1" applyBorder="1" applyAlignment="1">
      <alignment horizontal="center" vertical="center" wrapText="1"/>
    </xf>
    <xf numFmtId="0" fontId="32" fillId="0" borderId="26" xfId="0" applyFont="1" applyBorder="1" applyAlignment="1">
      <alignment horizontal="left" vertical="center" wrapText="1" indent="1"/>
    </xf>
    <xf numFmtId="0" fontId="32" fillId="0" borderId="27" xfId="0" applyFont="1" applyBorder="1" applyAlignment="1">
      <alignment horizontal="left" vertical="center" wrapText="1" indent="1"/>
    </xf>
    <xf numFmtId="0" fontId="32" fillId="0" borderId="28" xfId="0" applyFont="1" applyBorder="1" applyAlignment="1">
      <alignment horizontal="left" vertical="center" wrapText="1" indent="1"/>
    </xf>
  </cellXfs>
  <cellStyles count="5">
    <cellStyle name="Excel Built-in Normal" xfId="2" xr:uid="{00000000-0005-0000-0000-000001000000}"/>
    <cellStyle name="Hiperlink" xfId="3" builtinId="8"/>
    <cellStyle name="Normal" xfId="0" builtinId="0"/>
    <cellStyle name="Normal 2" xfId="4" xr:uid="{00000000-0005-0000-0000-000004000000}"/>
    <cellStyle name="Vírgula" xfId="1" builtinId="3"/>
  </cellStyles>
  <dxfs count="48">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SNAP Counting Sheet'!D1"/><Relationship Id="rId1" Type="http://schemas.openxmlformats.org/officeDocument/2006/relationships/hyperlink" Target="#'SNAP Counting Sheet'!BL1"/></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12</xdr:col>
      <xdr:colOff>114301</xdr:colOff>
      <xdr:row>0</xdr:row>
      <xdr:rowOff>1</xdr:rowOff>
    </xdr:from>
    <xdr:to>
      <xdr:col>15</xdr:col>
      <xdr:colOff>103219</xdr:colOff>
      <xdr:row>7</xdr:row>
      <xdr:rowOff>0</xdr:rowOff>
    </xdr:to>
    <xdr:pic>
      <xdr:nvPicPr>
        <xdr:cNvPr id="14351" name="Picture 1">
          <a:extLst>
            <a:ext uri="{FF2B5EF4-FFF2-40B4-BE49-F238E27FC236}">
              <a16:creationId xmlns:a16="http://schemas.microsoft.com/office/drawing/2014/main" id="{00000000-0008-0000-0000-00000F3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1" y="1"/>
          <a:ext cx="1817718" cy="16890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4</xdr:col>
      <xdr:colOff>152400</xdr:colOff>
      <xdr:row>6</xdr:row>
      <xdr:rowOff>381000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0" y="0"/>
          <a:ext cx="2286000"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333374</xdr:colOff>
      <xdr:row>85</xdr:row>
      <xdr:rowOff>152399</xdr:rowOff>
    </xdr:from>
    <xdr:to>
      <xdr:col>8</xdr:col>
      <xdr:colOff>4625</xdr:colOff>
      <xdr:row>89</xdr:row>
      <xdr:rowOff>1904</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342899" y="15253334"/>
          <a:ext cx="7236000" cy="5886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a:t>Application Metrics</a:t>
          </a:r>
        </a:p>
        <a:p>
          <a:pPr algn="l"/>
          <a:r>
            <a:rPr lang="en-US" sz="1100"/>
            <a:t>Please fill</a:t>
          </a:r>
          <a:r>
            <a:rPr lang="en-US" sz="1100" baseline="0"/>
            <a:t> the colored cells</a:t>
          </a:r>
          <a:endParaRPr lang="en-US" sz="1100"/>
        </a:p>
      </xdr:txBody>
    </xdr:sp>
    <xdr:clientData/>
  </xdr:twoCellAnchor>
  <xdr:twoCellAnchor>
    <xdr:from>
      <xdr:col>0</xdr:col>
      <xdr:colOff>333374</xdr:colOff>
      <xdr:row>52</xdr:row>
      <xdr:rowOff>47624</xdr:rowOff>
    </xdr:from>
    <xdr:to>
      <xdr:col>8</xdr:col>
      <xdr:colOff>4625</xdr:colOff>
      <xdr:row>54</xdr:row>
      <xdr:rowOff>171450</xdr:rowOff>
    </xdr:to>
    <xdr:sp macro="" textlink="">
      <xdr:nvSpPr>
        <xdr:cNvPr id="4" name="Rounded Rectangle 3">
          <a:extLst>
            <a:ext uri="{FF2B5EF4-FFF2-40B4-BE49-F238E27FC236}">
              <a16:creationId xmlns:a16="http://schemas.microsoft.com/office/drawing/2014/main" id="{00000000-0008-0000-0100-000004000000}"/>
            </a:ext>
          </a:extLst>
        </xdr:cNvPr>
        <xdr:cNvSpPr/>
      </xdr:nvSpPr>
      <xdr:spPr>
        <a:xfrm>
          <a:off x="342899" y="9069704"/>
          <a:ext cx="7236000" cy="48006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a:t>SNAP Assessment</a:t>
          </a:r>
          <a:r>
            <a:rPr lang="en-US" sz="1600" baseline="0"/>
            <a:t> Description, Scope, and Purpose</a:t>
          </a:r>
          <a:endParaRPr lang="en-US" sz="1600"/>
        </a:p>
        <a:p>
          <a:pPr algn="l"/>
          <a:r>
            <a:rPr lang="en-US" sz="1100"/>
            <a:t>Please fill</a:t>
          </a:r>
          <a:r>
            <a:rPr lang="en-US" sz="1100" baseline="0"/>
            <a:t> the colored cells</a:t>
          </a:r>
          <a:endParaRPr lang="en-US" sz="1100"/>
        </a:p>
      </xdr:txBody>
    </xdr:sp>
    <xdr:clientData/>
  </xdr:twoCellAnchor>
  <xdr:twoCellAnchor>
    <xdr:from>
      <xdr:col>1</xdr:col>
      <xdr:colOff>40004</xdr:colOff>
      <xdr:row>122</xdr:row>
      <xdr:rowOff>123825</xdr:rowOff>
    </xdr:from>
    <xdr:to>
      <xdr:col>8</xdr:col>
      <xdr:colOff>67484</xdr:colOff>
      <xdr:row>126</xdr:row>
      <xdr:rowOff>28575</xdr:rowOff>
    </xdr:to>
    <xdr:sp macro="" textlink="">
      <xdr:nvSpPr>
        <xdr:cNvPr id="5" name="Rounded Rectangle 4">
          <a:extLst>
            <a:ext uri="{FF2B5EF4-FFF2-40B4-BE49-F238E27FC236}">
              <a16:creationId xmlns:a16="http://schemas.microsoft.com/office/drawing/2014/main" id="{00000000-0008-0000-0100-000005000000}"/>
            </a:ext>
          </a:extLst>
        </xdr:cNvPr>
        <xdr:cNvSpPr/>
      </xdr:nvSpPr>
      <xdr:spPr>
        <a:xfrm>
          <a:off x="413384" y="21991320"/>
          <a:ext cx="7236000" cy="63627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a:t>Comments</a:t>
          </a:r>
        </a:p>
        <a:p>
          <a:pPr algn="l"/>
          <a:r>
            <a:rPr lang="en-US" sz="1100"/>
            <a:t>Please enter</a:t>
          </a:r>
          <a:r>
            <a:rPr lang="en-US" sz="1100" baseline="0"/>
            <a:t> comments into the colored cell, if necessary.</a:t>
          </a:r>
          <a:endParaRPr lang="en-US" sz="1100"/>
        </a:p>
      </xdr:txBody>
    </xdr:sp>
    <xdr:clientData/>
  </xdr:twoCellAnchor>
  <xdr:twoCellAnchor>
    <xdr:from>
      <xdr:col>0</xdr:col>
      <xdr:colOff>333374</xdr:colOff>
      <xdr:row>65</xdr:row>
      <xdr:rowOff>76200</xdr:rowOff>
    </xdr:from>
    <xdr:to>
      <xdr:col>8</xdr:col>
      <xdr:colOff>4625</xdr:colOff>
      <xdr:row>68</xdr:row>
      <xdr:rowOff>180975</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342899" y="11498580"/>
          <a:ext cx="7236000" cy="64389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a:t>Functional</a:t>
          </a:r>
          <a:r>
            <a:rPr lang="en-US" sz="1600" baseline="0"/>
            <a:t> Size Information (Optional!)</a:t>
          </a:r>
          <a:endParaRPr lang="en-US" sz="1600"/>
        </a:p>
        <a:p>
          <a:pPr algn="l"/>
          <a:r>
            <a:rPr lang="en-US" sz="1100"/>
            <a:t>Please fill</a:t>
          </a:r>
          <a:r>
            <a:rPr lang="en-US" sz="1100" baseline="0"/>
            <a:t> the colored cells</a:t>
          </a:r>
          <a:endParaRPr lang="en-US" sz="1100"/>
        </a:p>
      </xdr:txBody>
    </xdr:sp>
    <xdr:clientData/>
  </xdr:twoCellAnchor>
  <xdr:twoCellAnchor>
    <xdr:from>
      <xdr:col>0</xdr:col>
      <xdr:colOff>333374</xdr:colOff>
      <xdr:row>14</xdr:row>
      <xdr:rowOff>133349</xdr:rowOff>
    </xdr:from>
    <xdr:to>
      <xdr:col>8</xdr:col>
      <xdr:colOff>4625</xdr:colOff>
      <xdr:row>18</xdr:row>
      <xdr:rowOff>142875</xdr:rowOff>
    </xdr:to>
    <xdr:sp macro="" textlink="">
      <xdr:nvSpPr>
        <xdr:cNvPr id="9" name="Rounded Rectangle 8">
          <a:extLst>
            <a:ext uri="{FF2B5EF4-FFF2-40B4-BE49-F238E27FC236}">
              <a16:creationId xmlns:a16="http://schemas.microsoft.com/office/drawing/2014/main" id="{00000000-0008-0000-0100-000009000000}"/>
            </a:ext>
          </a:extLst>
        </xdr:cNvPr>
        <xdr:cNvSpPr/>
      </xdr:nvSpPr>
      <xdr:spPr>
        <a:xfrm>
          <a:off x="342899" y="3059429"/>
          <a:ext cx="7236000" cy="73152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a:t>Application General</a:t>
          </a:r>
          <a:r>
            <a:rPr lang="en-US" sz="1600" baseline="0"/>
            <a:t> </a:t>
          </a:r>
          <a:r>
            <a:rPr lang="en-US" sz="1600"/>
            <a:t>Information</a:t>
          </a:r>
        </a:p>
        <a:p>
          <a:pPr algn="l"/>
          <a:r>
            <a:rPr lang="en-US" sz="1100"/>
            <a:t>Please fill</a:t>
          </a:r>
          <a:r>
            <a:rPr lang="en-US" sz="1100" baseline="0"/>
            <a:t> the colored cells</a:t>
          </a:r>
          <a:endParaRPr lang="en-US" sz="1100"/>
        </a:p>
      </xdr:txBody>
    </xdr:sp>
    <xdr:clientData/>
  </xdr:twoCellAnchor>
  <xdr:twoCellAnchor>
    <xdr:from>
      <xdr:col>0</xdr:col>
      <xdr:colOff>333374</xdr:colOff>
      <xdr:row>7</xdr:row>
      <xdr:rowOff>38100</xdr:rowOff>
    </xdr:from>
    <xdr:to>
      <xdr:col>8</xdr:col>
      <xdr:colOff>4625</xdr:colOff>
      <xdr:row>10</xdr:row>
      <xdr:rowOff>161925</xdr:rowOff>
    </xdr:to>
    <xdr:sp macro="" textlink="">
      <xdr:nvSpPr>
        <xdr:cNvPr id="11" name="Rounded Rectangle 10">
          <a:extLst>
            <a:ext uri="{FF2B5EF4-FFF2-40B4-BE49-F238E27FC236}">
              <a16:creationId xmlns:a16="http://schemas.microsoft.com/office/drawing/2014/main" id="{00000000-0008-0000-0100-00000B000000}"/>
            </a:ext>
          </a:extLst>
        </xdr:cNvPr>
        <xdr:cNvSpPr/>
      </xdr:nvSpPr>
      <xdr:spPr>
        <a:xfrm>
          <a:off x="342899" y="1684020"/>
          <a:ext cx="7236000" cy="66294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a:t>Application Identification</a:t>
          </a:r>
        </a:p>
        <a:p>
          <a:pPr algn="l"/>
          <a:r>
            <a:rPr lang="en-US" sz="1100"/>
            <a:t>Please fill</a:t>
          </a:r>
          <a:r>
            <a:rPr lang="en-US" sz="1100" baseline="0"/>
            <a:t> the colored cell</a:t>
          </a:r>
          <a:endParaRPr lang="en-US" sz="1100"/>
        </a:p>
      </xdr:txBody>
    </xdr:sp>
    <xdr:clientData/>
  </xdr:twoCellAnchor>
  <xdr:twoCellAnchor>
    <xdr:from>
      <xdr:col>0</xdr:col>
      <xdr:colOff>333374</xdr:colOff>
      <xdr:row>0</xdr:row>
      <xdr:rowOff>80010</xdr:rowOff>
    </xdr:from>
    <xdr:to>
      <xdr:col>8</xdr:col>
      <xdr:colOff>4625</xdr:colOff>
      <xdr:row>3</xdr:row>
      <xdr:rowOff>184923</xdr:rowOff>
    </xdr:to>
    <xdr:sp macro="" textlink="">
      <xdr:nvSpPr>
        <xdr:cNvPr id="8" name="Rounded Rectangle 7">
          <a:extLst>
            <a:ext uri="{FF2B5EF4-FFF2-40B4-BE49-F238E27FC236}">
              <a16:creationId xmlns:a16="http://schemas.microsoft.com/office/drawing/2014/main" id="{00000000-0008-0000-0100-000008000000}"/>
            </a:ext>
          </a:extLst>
        </xdr:cNvPr>
        <xdr:cNvSpPr/>
      </xdr:nvSpPr>
      <xdr:spPr>
        <a:xfrm>
          <a:off x="342899" y="80010"/>
          <a:ext cx="7236000" cy="64389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a:t>Counter's Information</a:t>
          </a:r>
        </a:p>
        <a:p>
          <a:pPr algn="l"/>
          <a:r>
            <a:rPr lang="en-US" sz="1100"/>
            <a:t>Please fill</a:t>
          </a:r>
          <a:r>
            <a:rPr lang="en-US" sz="1100" baseline="0"/>
            <a:t> the colored cells to allow contacting you for the purpose of clarification or feedback</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5</xdr:row>
          <xdr:rowOff>200025</xdr:rowOff>
        </xdr:from>
        <xdr:to>
          <xdr:col>2</xdr:col>
          <xdr:colOff>1085850</xdr:colOff>
          <xdr:row>5</xdr:row>
          <xdr:rowOff>666750</xdr:rowOff>
        </xdr:to>
        <xdr:sp macro="" textlink="">
          <xdr:nvSpPr>
            <xdr:cNvPr id="38941" name="CmdInsert" hidden="1">
              <a:extLst>
                <a:ext uri="{63B3BB69-23CF-44E3-9099-C40C66FF867C}">
                  <a14:compatExt spid="_x0000_s38941"/>
                </a:ext>
                <a:ext uri="{FF2B5EF4-FFF2-40B4-BE49-F238E27FC236}">
                  <a16:creationId xmlns:a16="http://schemas.microsoft.com/office/drawing/2014/main" id="{00000000-0008-0000-0200-00001D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1822450</xdr:colOff>
      <xdr:row>6</xdr:row>
      <xdr:rowOff>162560</xdr:rowOff>
    </xdr:from>
    <xdr:to>
      <xdr:col>2</xdr:col>
      <xdr:colOff>2595880</xdr:colOff>
      <xdr:row>7</xdr:row>
      <xdr:rowOff>0</xdr:rowOff>
    </xdr:to>
    <xdr:sp macro="" textlink="">
      <xdr:nvSpPr>
        <xdr:cNvPr id="2" name="Round Single Corner Rectangle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3007360" y="2448560"/>
          <a:ext cx="792480" cy="477520"/>
        </a:xfrm>
        <a:prstGeom prst="round1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n-US" sz="1100"/>
            <a:t>Insert Comment</a:t>
          </a:r>
        </a:p>
      </xdr:txBody>
    </xdr:sp>
    <xdr:clientData/>
  </xdr:twoCellAnchor>
  <xdr:twoCellAnchor>
    <xdr:from>
      <xdr:col>63</xdr:col>
      <xdr:colOff>111760</xdr:colOff>
      <xdr:row>6</xdr:row>
      <xdr:rowOff>132715</xdr:rowOff>
    </xdr:from>
    <xdr:to>
      <xdr:col>63</xdr:col>
      <xdr:colOff>885144</xdr:colOff>
      <xdr:row>6</xdr:row>
      <xdr:rowOff>619980</xdr:rowOff>
    </xdr:to>
    <xdr:sp macro="" textlink="">
      <xdr:nvSpPr>
        <xdr:cNvPr id="4" name="Round Single Corner Rectangle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51318160" y="2428240"/>
          <a:ext cx="792480" cy="477520"/>
        </a:xfrm>
        <a:prstGeom prst="round1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n-US" sz="1100"/>
            <a:t>Back to SP data</a:t>
          </a: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nfssc@ifpug.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autoPageBreaks="0"/>
  </sheetPr>
  <dimension ref="A1:Q36"/>
  <sheetViews>
    <sheetView zoomScale="75" zoomScaleNormal="75" workbookViewId="0">
      <selection activeCell="B11" sqref="B11:P11"/>
    </sheetView>
  </sheetViews>
  <sheetFormatPr defaultRowHeight="15" x14ac:dyDescent="0.25"/>
  <cols>
    <col min="1" max="1" width="4.5703125" style="116" customWidth="1"/>
    <col min="2" max="16384" width="9.140625" style="116"/>
  </cols>
  <sheetData>
    <row r="1" spans="1:17" x14ac:dyDescent="0.25">
      <c r="A1" s="254"/>
      <c r="B1" s="254"/>
      <c r="C1" s="254"/>
      <c r="D1" s="254"/>
      <c r="E1" s="254"/>
      <c r="F1" s="254"/>
      <c r="G1" s="254"/>
      <c r="H1" s="254"/>
      <c r="I1" s="254"/>
      <c r="J1" s="254"/>
      <c r="K1" s="254"/>
      <c r="L1" s="254"/>
      <c r="M1" s="254"/>
      <c r="N1" s="254"/>
      <c r="O1" s="254"/>
      <c r="P1" s="254"/>
      <c r="Q1" s="254"/>
    </row>
    <row r="2" spans="1:17" x14ac:dyDescent="0.25">
      <c r="A2" s="254"/>
      <c r="B2" s="254"/>
      <c r="C2" s="254"/>
      <c r="D2" s="254"/>
      <c r="E2" s="254"/>
      <c r="F2" s="254"/>
      <c r="G2" s="254"/>
      <c r="H2" s="254"/>
      <c r="I2" s="254"/>
      <c r="J2" s="254"/>
      <c r="K2" s="254"/>
      <c r="L2" s="254"/>
      <c r="M2" s="254"/>
      <c r="N2" s="254"/>
      <c r="O2" s="254"/>
      <c r="P2" s="254"/>
      <c r="Q2" s="254"/>
    </row>
    <row r="3" spans="1:17" x14ac:dyDescent="0.25">
      <c r="A3" s="254"/>
      <c r="B3" s="254"/>
      <c r="C3" s="254"/>
      <c r="D3" s="254"/>
      <c r="E3" s="254"/>
      <c r="F3" s="254"/>
      <c r="G3" s="254"/>
      <c r="H3" s="254"/>
      <c r="I3" s="254"/>
      <c r="J3" s="254"/>
      <c r="K3" s="254"/>
      <c r="L3" s="254"/>
      <c r="M3" s="254"/>
      <c r="N3" s="254"/>
      <c r="O3" s="254"/>
      <c r="P3" s="254"/>
      <c r="Q3" s="254"/>
    </row>
    <row r="4" spans="1:17" x14ac:dyDescent="0.25">
      <c r="A4" s="254"/>
      <c r="B4" s="254"/>
      <c r="C4" s="254"/>
      <c r="D4" s="254"/>
      <c r="E4" s="254"/>
      <c r="F4" s="254"/>
      <c r="G4" s="254"/>
      <c r="H4" s="254"/>
      <c r="I4" s="254"/>
      <c r="J4" s="254"/>
      <c r="K4" s="254"/>
      <c r="L4" s="254"/>
      <c r="M4" s="254"/>
      <c r="N4" s="254"/>
      <c r="O4" s="254"/>
      <c r="P4" s="254"/>
      <c r="Q4" s="254"/>
    </row>
    <row r="5" spans="1:17" x14ac:dyDescent="0.25">
      <c r="A5" s="254"/>
      <c r="B5" s="254"/>
      <c r="C5" s="254"/>
      <c r="D5" s="254"/>
      <c r="E5" s="254"/>
      <c r="F5" s="254"/>
      <c r="G5" s="254"/>
      <c r="H5" s="254"/>
      <c r="I5" s="254"/>
      <c r="J5" s="254"/>
      <c r="K5" s="254"/>
      <c r="L5" s="254"/>
      <c r="M5" s="254"/>
      <c r="N5" s="254"/>
      <c r="O5" s="254"/>
      <c r="P5" s="254"/>
      <c r="Q5" s="254"/>
    </row>
    <row r="6" spans="1:17" x14ac:dyDescent="0.25">
      <c r="A6" s="254"/>
      <c r="B6" s="254"/>
      <c r="C6" s="254"/>
      <c r="D6" s="254"/>
      <c r="E6" s="254"/>
      <c r="F6" s="254"/>
      <c r="G6" s="254"/>
      <c r="H6" s="254"/>
      <c r="I6" s="254"/>
      <c r="J6" s="254"/>
      <c r="K6" s="254"/>
      <c r="L6" s="254"/>
      <c r="M6" s="254"/>
      <c r="N6" s="254"/>
      <c r="O6" s="254"/>
      <c r="P6" s="254"/>
      <c r="Q6" s="254"/>
    </row>
    <row r="7" spans="1:17" ht="42.75" customHeight="1" x14ac:dyDescent="0.35">
      <c r="A7" s="254"/>
      <c r="B7" s="254"/>
      <c r="C7" s="254"/>
      <c r="D7" s="254"/>
      <c r="E7" s="254"/>
      <c r="F7" s="378" t="s">
        <v>239</v>
      </c>
      <c r="G7" s="254"/>
      <c r="H7" s="254"/>
      <c r="I7" s="254"/>
      <c r="J7" s="254"/>
      <c r="K7" s="254"/>
      <c r="L7" s="254"/>
      <c r="M7" s="254"/>
      <c r="N7" s="254"/>
      <c r="O7" s="254"/>
      <c r="P7" s="254"/>
      <c r="Q7" s="254"/>
    </row>
    <row r="8" spans="1:17" ht="93" customHeight="1" x14ac:dyDescent="0.3">
      <c r="A8" s="254"/>
      <c r="B8" s="413" t="s">
        <v>332</v>
      </c>
      <c r="C8" s="414"/>
      <c r="D8" s="414"/>
      <c r="E8" s="414"/>
      <c r="F8" s="414"/>
      <c r="G8" s="414"/>
      <c r="H8" s="414"/>
      <c r="I8" s="414"/>
      <c r="J8" s="414"/>
      <c r="K8" s="414"/>
      <c r="L8" s="414"/>
      <c r="M8" s="414"/>
      <c r="N8" s="414"/>
      <c r="O8" s="414"/>
      <c r="P8" s="415"/>
      <c r="Q8" s="254"/>
    </row>
    <row r="9" spans="1:17" ht="18.75" x14ac:dyDescent="0.3">
      <c r="A9" s="24"/>
      <c r="B9" s="254"/>
      <c r="C9" s="254"/>
      <c r="D9" s="254"/>
      <c r="E9" s="254"/>
      <c r="F9" s="379" t="s">
        <v>331</v>
      </c>
      <c r="G9" s="380" t="s">
        <v>330</v>
      </c>
      <c r="H9" s="254"/>
      <c r="I9" s="254"/>
      <c r="J9" s="254"/>
      <c r="K9" s="254"/>
      <c r="L9" s="254"/>
      <c r="M9" s="254"/>
      <c r="N9" s="254"/>
      <c r="O9" s="254"/>
      <c r="P9" s="254"/>
      <c r="Q9" s="254"/>
    </row>
    <row r="10" spans="1:17" ht="47.45" customHeight="1" x14ac:dyDescent="0.25">
      <c r="A10" s="246">
        <v>1</v>
      </c>
      <c r="B10" s="387" t="s">
        <v>324</v>
      </c>
      <c r="C10" s="388"/>
      <c r="D10" s="388"/>
      <c r="E10" s="388"/>
      <c r="F10" s="388"/>
      <c r="G10" s="388"/>
      <c r="H10" s="388"/>
      <c r="I10" s="388"/>
      <c r="J10" s="388"/>
      <c r="K10" s="388"/>
      <c r="L10" s="388"/>
      <c r="M10" s="388"/>
      <c r="N10" s="388"/>
      <c r="O10" s="388"/>
      <c r="P10" s="389"/>
      <c r="Q10" s="254"/>
    </row>
    <row r="11" spans="1:17" ht="28.9" customHeight="1" x14ac:dyDescent="0.25">
      <c r="A11" s="249"/>
      <c r="B11" s="390" t="s">
        <v>269</v>
      </c>
      <c r="C11" s="391"/>
      <c r="D11" s="391"/>
      <c r="E11" s="391"/>
      <c r="F11" s="391"/>
      <c r="G11" s="391"/>
      <c r="H11" s="391"/>
      <c r="I11" s="391"/>
      <c r="J11" s="391"/>
      <c r="K11" s="391"/>
      <c r="L11" s="391"/>
      <c r="M11" s="391"/>
      <c r="N11" s="391"/>
      <c r="O11" s="391"/>
      <c r="P11" s="392"/>
      <c r="Q11" s="254"/>
    </row>
    <row r="12" spans="1:17" ht="33.6" customHeight="1" x14ac:dyDescent="0.25">
      <c r="A12" s="248"/>
      <c r="B12" s="393" t="s">
        <v>306</v>
      </c>
      <c r="C12" s="394"/>
      <c r="D12" s="394"/>
      <c r="E12" s="394"/>
      <c r="F12" s="394"/>
      <c r="G12" s="394"/>
      <c r="H12" s="394"/>
      <c r="I12" s="394"/>
      <c r="J12" s="394"/>
      <c r="K12" s="394"/>
      <c r="L12" s="394"/>
      <c r="M12" s="394"/>
      <c r="N12" s="394"/>
      <c r="O12" s="394"/>
      <c r="P12" s="395"/>
      <c r="Q12" s="254"/>
    </row>
    <row r="13" spans="1:17" ht="28.9" customHeight="1" x14ac:dyDescent="0.25">
      <c r="A13" s="249"/>
      <c r="B13" s="393" t="s">
        <v>310</v>
      </c>
      <c r="C13" s="394"/>
      <c r="D13" s="394"/>
      <c r="E13" s="394"/>
      <c r="F13" s="394"/>
      <c r="G13" s="394"/>
      <c r="H13" s="394"/>
      <c r="I13" s="394"/>
      <c r="J13" s="394"/>
      <c r="K13" s="394"/>
      <c r="L13" s="394"/>
      <c r="M13" s="394"/>
      <c r="N13" s="394"/>
      <c r="O13" s="394"/>
      <c r="P13" s="395"/>
      <c r="Q13" s="254"/>
    </row>
    <row r="14" spans="1:17" ht="15" customHeight="1" x14ac:dyDescent="0.25">
      <c r="A14" s="248">
        <v>2</v>
      </c>
      <c r="B14" s="390" t="s">
        <v>313</v>
      </c>
      <c r="C14" s="391"/>
      <c r="D14" s="391"/>
      <c r="E14" s="391"/>
      <c r="F14" s="391"/>
      <c r="G14" s="391"/>
      <c r="H14" s="391"/>
      <c r="I14" s="391"/>
      <c r="J14" s="391"/>
      <c r="K14" s="391"/>
      <c r="L14" s="391"/>
      <c r="M14" s="391"/>
      <c r="N14" s="391"/>
      <c r="O14" s="391"/>
      <c r="P14" s="392"/>
      <c r="Q14" s="254"/>
    </row>
    <row r="15" spans="1:17" ht="32.450000000000003" customHeight="1" x14ac:dyDescent="0.25">
      <c r="A15" s="249"/>
      <c r="B15" s="396" t="s">
        <v>307</v>
      </c>
      <c r="C15" s="397"/>
      <c r="D15" s="397"/>
      <c r="E15" s="397"/>
      <c r="F15" s="397"/>
      <c r="G15" s="397"/>
      <c r="H15" s="397"/>
      <c r="I15" s="397"/>
      <c r="J15" s="397"/>
      <c r="K15" s="397"/>
      <c r="L15" s="397"/>
      <c r="M15" s="397"/>
      <c r="N15" s="397"/>
      <c r="O15" s="397"/>
      <c r="P15" s="398"/>
      <c r="Q15" s="254"/>
    </row>
    <row r="16" spans="1:17" ht="52.5" customHeight="1" x14ac:dyDescent="0.25">
      <c r="A16" s="250">
        <v>3</v>
      </c>
      <c r="B16" s="408" t="s">
        <v>325</v>
      </c>
      <c r="C16" s="409"/>
      <c r="D16" s="409"/>
      <c r="E16" s="409"/>
      <c r="F16" s="409"/>
      <c r="G16" s="409"/>
      <c r="H16" s="409"/>
      <c r="I16" s="409"/>
      <c r="J16" s="409"/>
      <c r="K16" s="409"/>
      <c r="L16" s="409"/>
      <c r="M16" s="409"/>
      <c r="N16" s="409"/>
      <c r="O16" s="409"/>
      <c r="P16" s="410"/>
      <c r="Q16" s="257"/>
    </row>
    <row r="17" spans="1:17" ht="38.450000000000003" customHeight="1" x14ac:dyDescent="0.25">
      <c r="A17" s="251">
        <v>4</v>
      </c>
      <c r="B17" s="396" t="s">
        <v>326</v>
      </c>
      <c r="C17" s="397"/>
      <c r="D17" s="397"/>
      <c r="E17" s="397"/>
      <c r="F17" s="397"/>
      <c r="G17" s="397"/>
      <c r="H17" s="397"/>
      <c r="I17" s="397"/>
      <c r="J17" s="397"/>
      <c r="K17" s="397"/>
      <c r="L17" s="397"/>
      <c r="M17" s="397"/>
      <c r="N17" s="397"/>
      <c r="O17" s="397"/>
      <c r="P17" s="398"/>
      <c r="Q17" s="257"/>
    </row>
    <row r="18" spans="1:17" ht="52.9" customHeight="1" x14ac:dyDescent="0.25">
      <c r="A18" s="250">
        <v>5</v>
      </c>
      <c r="B18" s="397" t="s">
        <v>327</v>
      </c>
      <c r="C18" s="397"/>
      <c r="D18" s="397"/>
      <c r="E18" s="397"/>
      <c r="F18" s="397"/>
      <c r="G18" s="397"/>
      <c r="H18" s="397"/>
      <c r="I18" s="397"/>
      <c r="J18" s="397"/>
      <c r="K18" s="397"/>
      <c r="L18" s="397"/>
      <c r="M18" s="397"/>
      <c r="N18" s="397"/>
      <c r="O18" s="397"/>
      <c r="P18" s="398"/>
      <c r="Q18" s="257"/>
    </row>
    <row r="19" spans="1:17" ht="29.45" customHeight="1" x14ac:dyDescent="0.25">
      <c r="A19" s="253">
        <v>6</v>
      </c>
      <c r="B19" s="397" t="s">
        <v>328</v>
      </c>
      <c r="C19" s="397"/>
      <c r="D19" s="397"/>
      <c r="E19" s="397"/>
      <c r="F19" s="397"/>
      <c r="G19" s="397"/>
      <c r="H19" s="397"/>
      <c r="I19" s="397"/>
      <c r="J19" s="397"/>
      <c r="K19" s="397"/>
      <c r="L19" s="397"/>
      <c r="M19" s="397"/>
      <c r="N19" s="397"/>
      <c r="O19" s="397"/>
      <c r="P19" s="398"/>
      <c r="Q19" s="257"/>
    </row>
    <row r="20" spans="1:17" x14ac:dyDescent="0.25">
      <c r="A20" s="248"/>
      <c r="B20" s="411" t="s">
        <v>314</v>
      </c>
      <c r="C20" s="411"/>
      <c r="D20" s="411"/>
      <c r="E20" s="411"/>
      <c r="F20" s="411"/>
      <c r="G20" s="411"/>
      <c r="H20" s="411"/>
      <c r="I20" s="411"/>
      <c r="J20" s="411"/>
      <c r="K20" s="411"/>
      <c r="L20" s="411"/>
      <c r="M20" s="411"/>
      <c r="N20" s="411"/>
      <c r="O20" s="411"/>
      <c r="P20" s="412"/>
      <c r="Q20" s="257"/>
    </row>
    <row r="21" spans="1:17" ht="13.5" customHeight="1" x14ac:dyDescent="0.25">
      <c r="A21" s="249"/>
      <c r="B21" s="254"/>
      <c r="C21" s="401" t="s">
        <v>270</v>
      </c>
      <c r="D21" s="399"/>
      <c r="E21" s="399"/>
      <c r="F21" s="399"/>
      <c r="G21" s="399"/>
      <c r="H21" s="399"/>
      <c r="I21" s="399"/>
      <c r="J21" s="399"/>
      <c r="K21" s="399"/>
      <c r="L21" s="399"/>
      <c r="M21" s="399"/>
      <c r="N21" s="399"/>
      <c r="O21" s="399"/>
      <c r="P21" s="400"/>
      <c r="Q21" s="257"/>
    </row>
    <row r="22" spans="1:17" ht="13.5" customHeight="1" x14ac:dyDescent="0.25">
      <c r="A22" s="249"/>
      <c r="B22" s="254"/>
      <c r="C22" s="399" t="s">
        <v>271</v>
      </c>
      <c r="D22" s="399"/>
      <c r="E22" s="399"/>
      <c r="F22" s="399"/>
      <c r="G22" s="399"/>
      <c r="H22" s="399"/>
      <c r="I22" s="399"/>
      <c r="J22" s="399"/>
      <c r="K22" s="399"/>
      <c r="L22" s="399"/>
      <c r="M22" s="399"/>
      <c r="N22" s="399"/>
      <c r="O22" s="399"/>
      <c r="P22" s="400"/>
      <c r="Q22" s="257"/>
    </row>
    <row r="23" spans="1:17" ht="19.899999999999999" customHeight="1" x14ac:dyDescent="0.25">
      <c r="A23" s="255"/>
      <c r="B23" s="254"/>
      <c r="C23" s="401" t="s">
        <v>272</v>
      </c>
      <c r="D23" s="399"/>
      <c r="E23" s="399"/>
      <c r="F23" s="399"/>
      <c r="G23" s="399"/>
      <c r="H23" s="399"/>
      <c r="I23" s="399"/>
      <c r="J23" s="399"/>
      <c r="K23" s="399"/>
      <c r="L23" s="399"/>
      <c r="M23" s="399"/>
      <c r="N23" s="399"/>
      <c r="O23" s="399"/>
      <c r="P23" s="400"/>
      <c r="Q23" s="257"/>
    </row>
    <row r="24" spans="1:17" ht="31.9" customHeight="1" x14ac:dyDescent="0.25">
      <c r="A24" s="252">
        <v>7</v>
      </c>
      <c r="B24" s="396" t="s">
        <v>329</v>
      </c>
      <c r="C24" s="397"/>
      <c r="D24" s="397"/>
      <c r="E24" s="397"/>
      <c r="F24" s="397"/>
      <c r="G24" s="397"/>
      <c r="H24" s="397"/>
      <c r="I24" s="397"/>
      <c r="J24" s="397"/>
      <c r="K24" s="397"/>
      <c r="L24" s="397"/>
      <c r="M24" s="397"/>
      <c r="N24" s="397"/>
      <c r="O24" s="397"/>
      <c r="P24" s="398"/>
      <c r="Q24" s="257"/>
    </row>
    <row r="25" spans="1:17" ht="16.149999999999999" customHeight="1" x14ac:dyDescent="0.25">
      <c r="A25" s="246">
        <v>8</v>
      </c>
      <c r="B25" s="402" t="s">
        <v>240</v>
      </c>
      <c r="C25" s="403"/>
      <c r="D25" s="403"/>
      <c r="E25" s="403"/>
      <c r="F25" s="403"/>
      <c r="G25" s="403"/>
      <c r="H25" s="403"/>
      <c r="I25" s="403"/>
      <c r="J25" s="403"/>
      <c r="K25" s="403"/>
      <c r="L25" s="403"/>
      <c r="M25" s="403"/>
      <c r="N25" s="403"/>
      <c r="O25" s="403"/>
      <c r="P25" s="404"/>
      <c r="Q25" s="257"/>
    </row>
    <row r="26" spans="1:17" ht="13.5" customHeight="1" x14ac:dyDescent="0.25">
      <c r="A26" s="247"/>
      <c r="B26" s="405" t="s">
        <v>308</v>
      </c>
      <c r="C26" s="406"/>
      <c r="D26" s="406"/>
      <c r="E26" s="406"/>
      <c r="F26" s="406"/>
      <c r="G26" s="406"/>
      <c r="H26" s="406"/>
      <c r="I26" s="407"/>
      <c r="J26" s="256"/>
      <c r="L26" s="257"/>
      <c r="M26" s="256"/>
      <c r="O26" s="257"/>
      <c r="P26" s="256"/>
      <c r="Q26" s="257"/>
    </row>
    <row r="27" spans="1:17" ht="19.899999999999999" customHeight="1" x14ac:dyDescent="0.25">
      <c r="A27" s="117"/>
    </row>
    <row r="28" spans="1:17" ht="13.5" customHeight="1" x14ac:dyDescent="0.25">
      <c r="B28" s="1"/>
    </row>
    <row r="29" spans="1:17" ht="13.5" customHeight="1" x14ac:dyDescent="0.25">
      <c r="A29" s="117"/>
    </row>
    <row r="30" spans="1:17" ht="13.5" customHeight="1" x14ac:dyDescent="0.25">
      <c r="A30" s="67"/>
    </row>
    <row r="31" spans="1:17" ht="13.5" customHeight="1" x14ac:dyDescent="0.25">
      <c r="A31" s="117"/>
    </row>
    <row r="32" spans="1:17" ht="13.5" customHeight="1" x14ac:dyDescent="0.25">
      <c r="A32" s="117"/>
    </row>
    <row r="33" ht="13.5" customHeight="1" x14ac:dyDescent="0.25"/>
    <row r="34" ht="13.5" customHeight="1" x14ac:dyDescent="0.25"/>
    <row r="35" ht="13.5" customHeight="1" x14ac:dyDescent="0.25"/>
    <row r="36" ht="13.5" customHeight="1" x14ac:dyDescent="0.25"/>
  </sheetData>
  <sheetProtection password="AB5E" sheet="1" objects="1" scenarios="1"/>
  <mergeCells count="18">
    <mergeCell ref="B8:P8"/>
    <mergeCell ref="B26:I26"/>
    <mergeCell ref="B16:P16"/>
    <mergeCell ref="B19:P19"/>
    <mergeCell ref="B20:P20"/>
    <mergeCell ref="C21:P21"/>
    <mergeCell ref="B17:P17"/>
    <mergeCell ref="B18:P18"/>
    <mergeCell ref="B15:P15"/>
    <mergeCell ref="C22:P22"/>
    <mergeCell ref="C23:P23"/>
    <mergeCell ref="B24:P24"/>
    <mergeCell ref="B25:P25"/>
    <mergeCell ref="B10:P10"/>
    <mergeCell ref="B11:P11"/>
    <mergeCell ref="B12:P12"/>
    <mergeCell ref="B13:P13"/>
    <mergeCell ref="B14:P14"/>
  </mergeCells>
  <hyperlinks>
    <hyperlink ref="G9" r:id="rId1" xr:uid="{00000000-0004-0000-0000-000000000000}"/>
  </hyperlinks>
  <pageMargins left="0.7" right="0.7" top="0.75" bottom="0.75" header="0.3" footer="0.3"/>
  <pageSetup paperSize="9" orientation="portrait" r:id="rId2"/>
  <headerFooter>
    <oddFooter>&amp;LLevel 1 – Confidential</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pageSetUpPr autoPageBreaks="0"/>
  </sheetPr>
  <dimension ref="A1:AM132"/>
  <sheetViews>
    <sheetView topLeftCell="A103" workbookViewId="0">
      <selection activeCell="B33" sqref="B33:C33"/>
    </sheetView>
  </sheetViews>
  <sheetFormatPr defaultRowHeight="15" x14ac:dyDescent="0.25"/>
  <cols>
    <col min="1" max="1" width="5.42578125" style="1" customWidth="1"/>
    <col min="2" max="2" width="20" style="1" customWidth="1"/>
    <col min="3" max="3" width="24" style="1" customWidth="1"/>
    <col min="4" max="4" width="5.85546875" style="1" customWidth="1"/>
    <col min="5" max="5" width="9.140625" style="1"/>
    <col min="6" max="6" width="7" style="1" customWidth="1"/>
    <col min="7" max="7" width="28.42578125" style="1" customWidth="1"/>
    <col min="8" max="8" width="10.7109375" style="1" customWidth="1"/>
    <col min="9" max="9" width="4.7109375" style="1" customWidth="1"/>
    <col min="10" max="39" width="9.140625" style="110"/>
    <col min="40" max="16384" width="9.140625" style="1"/>
  </cols>
  <sheetData>
    <row r="1" spans="1:9" x14ac:dyDescent="0.25">
      <c r="C1" s="217"/>
      <c r="D1" s="217"/>
      <c r="E1" s="217"/>
      <c r="F1" s="217"/>
      <c r="G1" s="216"/>
      <c r="H1" s="216"/>
    </row>
    <row r="2" spans="1:9" x14ac:dyDescent="0.25">
      <c r="A2" s="72"/>
      <c r="B2" s="72"/>
      <c r="C2" s="72"/>
      <c r="D2" s="72"/>
      <c r="E2" s="72"/>
      <c r="F2" s="72"/>
      <c r="G2" s="72"/>
      <c r="H2" s="72"/>
      <c r="I2" s="215"/>
    </row>
    <row r="3" spans="1:9" x14ac:dyDescent="0.25">
      <c r="A3" s="72"/>
      <c r="B3" s="72"/>
      <c r="C3" s="72"/>
      <c r="D3" s="72"/>
      <c r="E3" s="72"/>
      <c r="F3" s="72"/>
      <c r="G3" s="72"/>
      <c r="H3" s="72"/>
    </row>
    <row r="4" spans="1:9" x14ac:dyDescent="0.25">
      <c r="A4" s="72"/>
      <c r="B4" s="72"/>
      <c r="C4" s="72"/>
      <c r="D4" s="72"/>
      <c r="E4" s="72"/>
      <c r="F4" s="72"/>
      <c r="G4" s="72"/>
      <c r="H4" s="72"/>
      <c r="I4" s="215"/>
    </row>
    <row r="5" spans="1:9" x14ac:dyDescent="0.25">
      <c r="A5" s="72"/>
      <c r="B5" s="72" t="s">
        <v>265</v>
      </c>
      <c r="C5" s="72"/>
      <c r="D5" s="72"/>
      <c r="E5" s="72"/>
      <c r="F5" s="72"/>
      <c r="G5" s="72"/>
      <c r="H5" s="72"/>
      <c r="I5" s="215"/>
    </row>
    <row r="6" spans="1:9" x14ac:dyDescent="0.25">
      <c r="A6" s="72"/>
      <c r="B6" s="417"/>
      <c r="C6" s="418"/>
      <c r="D6" s="72"/>
      <c r="E6" s="72"/>
      <c r="F6" s="72"/>
      <c r="G6" s="72"/>
      <c r="H6" s="72"/>
      <c r="I6" s="215"/>
    </row>
    <row r="7" spans="1:9" x14ac:dyDescent="0.25">
      <c r="A7" s="71"/>
      <c r="B7" s="71"/>
      <c r="C7" s="71"/>
      <c r="D7" s="71"/>
      <c r="E7" s="71"/>
      <c r="F7" s="71"/>
      <c r="G7" s="71"/>
      <c r="H7" s="71"/>
      <c r="I7" s="105"/>
    </row>
    <row r="8" spans="1:9" x14ac:dyDescent="0.25">
      <c r="A8" s="71"/>
      <c r="B8" s="71"/>
      <c r="C8" s="71"/>
      <c r="D8" s="71"/>
      <c r="E8" s="71"/>
      <c r="F8" s="71"/>
      <c r="G8" s="71"/>
      <c r="H8" s="71"/>
      <c r="I8" s="105"/>
    </row>
    <row r="9" spans="1:9" x14ac:dyDescent="0.25">
      <c r="A9" s="71"/>
      <c r="B9" s="71"/>
      <c r="C9" s="71"/>
      <c r="D9" s="71"/>
      <c r="E9" s="71"/>
      <c r="F9" s="71"/>
      <c r="G9" s="71"/>
      <c r="H9" s="71"/>
      <c r="I9" s="105"/>
    </row>
    <row r="10" spans="1:9" x14ac:dyDescent="0.25">
      <c r="A10" s="71"/>
      <c r="B10" s="71"/>
      <c r="C10" s="71"/>
      <c r="D10" s="71"/>
      <c r="E10" s="71"/>
      <c r="F10" s="71"/>
      <c r="G10" s="71"/>
      <c r="H10" s="71"/>
      <c r="I10" s="105"/>
    </row>
    <row r="11" spans="1:9" x14ac:dyDescent="0.25">
      <c r="A11" s="71"/>
      <c r="B11" s="71"/>
      <c r="C11" s="71"/>
      <c r="D11" s="71"/>
      <c r="E11" s="71"/>
      <c r="F11" s="71"/>
      <c r="G11" s="71"/>
      <c r="H11" s="71"/>
      <c r="I11" s="105"/>
    </row>
    <row r="12" spans="1:9" x14ac:dyDescent="0.25">
      <c r="A12" s="71"/>
      <c r="B12" s="85" t="s">
        <v>273</v>
      </c>
      <c r="C12" s="85"/>
      <c r="D12" s="85"/>
      <c r="E12" s="85"/>
      <c r="F12" s="85"/>
      <c r="G12" s="85"/>
      <c r="H12" s="85"/>
      <c r="I12" s="105"/>
    </row>
    <row r="13" spans="1:9" x14ac:dyDescent="0.25">
      <c r="A13" s="78"/>
      <c r="B13" s="442"/>
      <c r="C13" s="442"/>
      <c r="D13" s="442"/>
      <c r="E13" s="442"/>
      <c r="F13" s="442"/>
      <c r="G13" s="442"/>
      <c r="H13" s="442"/>
      <c r="I13" s="96"/>
    </row>
    <row r="14" spans="1:9" x14ac:dyDescent="0.25">
      <c r="A14" s="71"/>
      <c r="B14" s="70"/>
      <c r="C14" s="70"/>
      <c r="D14" s="70"/>
      <c r="E14" s="70"/>
      <c r="F14" s="70"/>
      <c r="G14" s="70"/>
      <c r="H14" s="71"/>
      <c r="I14" s="105"/>
    </row>
    <row r="15" spans="1:9" x14ac:dyDescent="0.25">
      <c r="A15" s="70"/>
      <c r="B15" s="70"/>
      <c r="C15" s="70"/>
      <c r="D15" s="70"/>
      <c r="E15" s="70"/>
      <c r="F15" s="70"/>
      <c r="G15" s="70"/>
      <c r="H15" s="71"/>
      <c r="I15" s="105"/>
    </row>
    <row r="16" spans="1:9" x14ac:dyDescent="0.25">
      <c r="A16" s="70"/>
      <c r="B16" s="70"/>
      <c r="C16" s="70"/>
      <c r="D16" s="70"/>
      <c r="E16" s="70"/>
      <c r="F16" s="70"/>
      <c r="G16" s="70"/>
      <c r="H16" s="71"/>
      <c r="I16" s="105"/>
    </row>
    <row r="17" spans="1:39" x14ac:dyDescent="0.25">
      <c r="A17" s="70"/>
      <c r="B17" s="70"/>
      <c r="C17" s="70"/>
      <c r="D17" s="70"/>
      <c r="E17" s="70"/>
      <c r="F17" s="70"/>
      <c r="G17" s="70"/>
      <c r="H17" s="71"/>
      <c r="I17" s="105"/>
    </row>
    <row r="18" spans="1:39" x14ac:dyDescent="0.25">
      <c r="A18" s="70"/>
      <c r="B18" s="71"/>
      <c r="C18" s="70"/>
      <c r="D18" s="70"/>
      <c r="E18" s="71"/>
      <c r="F18" s="71"/>
      <c r="G18" s="70"/>
      <c r="H18" s="71"/>
      <c r="I18" s="105"/>
    </row>
    <row r="19" spans="1:39" x14ac:dyDescent="0.25">
      <c r="A19" s="70"/>
      <c r="B19" s="75"/>
      <c r="C19" s="75"/>
      <c r="D19" s="75"/>
      <c r="E19" s="85"/>
      <c r="F19" s="83"/>
      <c r="G19" s="84"/>
      <c r="H19" s="85"/>
      <c r="I19" s="105"/>
    </row>
    <row r="20" spans="1:39" x14ac:dyDescent="0.25">
      <c r="A20" s="76"/>
      <c r="B20" s="193" t="s">
        <v>241</v>
      </c>
      <c r="C20" s="18"/>
      <c r="D20" s="201"/>
      <c r="E20" s="193" t="s">
        <v>275</v>
      </c>
      <c r="F20" s="194"/>
      <c r="G20" s="18"/>
      <c r="H20" s="201"/>
      <c r="I20" s="96"/>
    </row>
    <row r="21" spans="1:39" x14ac:dyDescent="0.25">
      <c r="A21" s="76"/>
      <c r="B21" s="202"/>
      <c r="C21" s="192"/>
      <c r="D21" s="187"/>
      <c r="E21" s="203"/>
      <c r="F21" s="14"/>
      <c r="G21" s="197"/>
      <c r="H21" s="187"/>
      <c r="I21" s="96"/>
    </row>
    <row r="22" spans="1:39" s="123" customFormat="1" x14ac:dyDescent="0.25">
      <c r="A22" s="142"/>
      <c r="B22" s="180"/>
      <c r="C22" s="125"/>
      <c r="D22" s="191"/>
      <c r="E22" s="180"/>
      <c r="F22" s="138"/>
      <c r="G22" s="198"/>
      <c r="H22" s="191"/>
      <c r="I22" s="128"/>
      <c r="J22" s="122"/>
      <c r="K22" s="122"/>
      <c r="L22" s="122"/>
      <c r="M22" s="122"/>
      <c r="N22" s="122"/>
      <c r="O22" s="122"/>
      <c r="P22" s="122"/>
      <c r="Q22" s="122"/>
      <c r="R22" s="122"/>
      <c r="S22" s="122"/>
      <c r="T22" s="122"/>
      <c r="U22" s="122"/>
      <c r="V22" s="122"/>
      <c r="W22" s="122"/>
      <c r="X22" s="122"/>
      <c r="Y22" s="122"/>
      <c r="Z22" s="122"/>
      <c r="AA22" s="122"/>
      <c r="AB22" s="122"/>
      <c r="AC22" s="122"/>
      <c r="AD22" s="122"/>
      <c r="AE22" s="122"/>
      <c r="AF22" s="122"/>
      <c r="AG22" s="122"/>
      <c r="AH22" s="122"/>
      <c r="AI22" s="122"/>
      <c r="AJ22" s="122"/>
      <c r="AK22" s="122"/>
      <c r="AL22" s="122"/>
      <c r="AM22" s="122"/>
    </row>
    <row r="23" spans="1:39" x14ac:dyDescent="0.25">
      <c r="A23" s="76"/>
      <c r="B23" s="186" t="s">
        <v>92</v>
      </c>
      <c r="C23" s="10"/>
      <c r="D23" s="200"/>
      <c r="E23" s="452" t="s">
        <v>274</v>
      </c>
      <c r="F23" s="453"/>
      <c r="G23" s="453"/>
      <c r="H23" s="204"/>
      <c r="I23" s="96"/>
    </row>
    <row r="24" spans="1:39" x14ac:dyDescent="0.25">
      <c r="A24" s="76"/>
      <c r="B24" s="426"/>
      <c r="C24" s="427"/>
      <c r="D24" s="23"/>
      <c r="E24" s="202"/>
      <c r="F24" s="14"/>
      <c r="G24" s="226"/>
      <c r="H24" s="23"/>
      <c r="I24" s="96"/>
    </row>
    <row r="25" spans="1:39" x14ac:dyDescent="0.25">
      <c r="A25" s="207"/>
      <c r="B25" s="20" t="s">
        <v>31</v>
      </c>
      <c r="C25" s="16"/>
      <c r="D25" s="23"/>
      <c r="E25" s="457"/>
      <c r="F25" s="458"/>
      <c r="G25" s="459"/>
      <c r="H25" s="19"/>
      <c r="I25" s="76"/>
    </row>
    <row r="26" spans="1:39" x14ac:dyDescent="0.25">
      <c r="A26" s="207"/>
      <c r="B26" s="202"/>
      <c r="C26" s="192"/>
      <c r="D26" s="23"/>
      <c r="E26" s="460"/>
      <c r="F26" s="461"/>
      <c r="G26" s="462"/>
      <c r="H26" s="19"/>
      <c r="I26" s="96"/>
    </row>
    <row r="27" spans="1:39" x14ac:dyDescent="0.25">
      <c r="A27" s="207"/>
      <c r="B27" s="22"/>
      <c r="C27" s="206"/>
      <c r="D27" s="205"/>
      <c r="E27" s="460"/>
      <c r="F27" s="461"/>
      <c r="G27" s="462"/>
      <c r="H27" s="19"/>
      <c r="I27" s="96"/>
    </row>
    <row r="28" spans="1:39" ht="15" customHeight="1" x14ac:dyDescent="0.25">
      <c r="A28" s="207"/>
      <c r="B28" s="28" t="s">
        <v>92</v>
      </c>
      <c r="C28" s="14"/>
      <c r="D28" s="214"/>
      <c r="E28" s="460"/>
      <c r="F28" s="461"/>
      <c r="G28" s="462"/>
      <c r="H28" s="187"/>
      <c r="I28" s="96"/>
    </row>
    <row r="29" spans="1:39" x14ac:dyDescent="0.25">
      <c r="A29" s="207"/>
      <c r="B29" s="428"/>
      <c r="C29" s="428"/>
      <c r="D29" s="199"/>
      <c r="E29" s="454"/>
      <c r="F29" s="454"/>
      <c r="G29" s="454"/>
      <c r="H29" s="199"/>
      <c r="I29" s="96"/>
    </row>
    <row r="30" spans="1:39" s="123" customFormat="1" ht="15" customHeight="1" x14ac:dyDescent="0.25">
      <c r="A30" s="142"/>
      <c r="B30" s="430" t="s">
        <v>276</v>
      </c>
      <c r="C30" s="431"/>
      <c r="D30" s="169"/>
      <c r="H30" s="463" t="s">
        <v>242</v>
      </c>
      <c r="I30" s="128"/>
      <c r="J30" s="241"/>
      <c r="K30" s="122"/>
      <c r="L30" s="122"/>
      <c r="M30" s="122"/>
      <c r="N30" s="122"/>
      <c r="O30" s="122"/>
      <c r="P30" s="122"/>
      <c r="Q30" s="122"/>
      <c r="R30" s="122"/>
      <c r="S30" s="122"/>
      <c r="T30" s="122"/>
      <c r="U30" s="122"/>
      <c r="V30" s="122"/>
      <c r="W30" s="122"/>
      <c r="X30" s="122"/>
      <c r="Y30" s="122"/>
      <c r="Z30" s="122"/>
      <c r="AA30" s="122"/>
      <c r="AB30" s="122"/>
      <c r="AC30" s="122"/>
      <c r="AD30" s="122"/>
      <c r="AE30" s="122"/>
      <c r="AF30" s="122"/>
      <c r="AG30" s="122"/>
      <c r="AH30" s="122"/>
      <c r="AI30" s="122"/>
      <c r="AJ30" s="122"/>
      <c r="AK30" s="122"/>
      <c r="AL30" s="122"/>
      <c r="AM30" s="122"/>
    </row>
    <row r="31" spans="1:39" ht="26.45" customHeight="1" x14ac:dyDescent="0.25">
      <c r="A31" s="76"/>
      <c r="B31" s="432"/>
      <c r="C31" s="433"/>
      <c r="D31" s="169"/>
      <c r="E31" s="138"/>
      <c r="F31" s="138"/>
      <c r="G31" s="138"/>
      <c r="H31" s="464"/>
      <c r="I31" s="234"/>
      <c r="J31" s="242"/>
    </row>
    <row r="32" spans="1:39" ht="16.149999999999999" customHeight="1" x14ac:dyDescent="0.25">
      <c r="A32" s="77"/>
      <c r="B32" s="434"/>
      <c r="C32" s="435"/>
      <c r="D32" s="169"/>
      <c r="E32" s="28" t="s">
        <v>312</v>
      </c>
      <c r="F32" s="243"/>
      <c r="G32" s="28"/>
      <c r="H32" s="465"/>
      <c r="I32" s="240"/>
      <c r="J32" s="229"/>
    </row>
    <row r="33" spans="1:39" s="123" customFormat="1" x14ac:dyDescent="0.25">
      <c r="A33" s="142"/>
      <c r="B33" s="436" t="s">
        <v>163</v>
      </c>
      <c r="C33" s="437"/>
      <c r="D33" s="228"/>
      <c r="E33" s="441"/>
      <c r="F33" s="441"/>
      <c r="G33" s="456"/>
      <c r="H33" s="238"/>
      <c r="I33" s="128"/>
      <c r="J33" s="122"/>
      <c r="K33" s="122"/>
      <c r="L33" s="122"/>
      <c r="M33" s="122"/>
      <c r="N33" s="122"/>
      <c r="O33" s="122"/>
      <c r="P33" s="122"/>
      <c r="Q33" s="122"/>
      <c r="R33" s="122"/>
      <c r="S33" s="122"/>
      <c r="T33" s="122"/>
      <c r="U33" s="122"/>
      <c r="V33" s="122"/>
      <c r="W33" s="122"/>
      <c r="X33" s="122"/>
      <c r="Y33" s="122"/>
      <c r="Z33" s="122"/>
      <c r="AA33" s="122"/>
      <c r="AB33" s="122"/>
      <c r="AC33" s="122"/>
      <c r="AD33" s="122"/>
      <c r="AE33" s="122"/>
      <c r="AF33" s="122"/>
      <c r="AG33" s="122"/>
      <c r="AH33" s="122"/>
      <c r="AI33" s="122"/>
      <c r="AJ33" s="122"/>
      <c r="AK33" s="122"/>
      <c r="AL33" s="122"/>
      <c r="AM33" s="122"/>
    </row>
    <row r="34" spans="1:39" s="123" customFormat="1" x14ac:dyDescent="0.25">
      <c r="A34" s="142"/>
      <c r="B34" s="440" t="s">
        <v>162</v>
      </c>
      <c r="C34" s="441"/>
      <c r="D34" s="236"/>
      <c r="E34" s="437"/>
      <c r="F34" s="437"/>
      <c r="G34" s="437"/>
      <c r="H34" s="238"/>
      <c r="I34" s="128"/>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row>
    <row r="35" spans="1:39" s="123" customFormat="1" x14ac:dyDescent="0.25">
      <c r="A35" s="142"/>
      <c r="B35" s="440" t="s">
        <v>169</v>
      </c>
      <c r="C35" s="441"/>
      <c r="D35" s="236"/>
      <c r="E35" s="441"/>
      <c r="F35" s="441"/>
      <c r="G35" s="441"/>
      <c r="H35" s="238"/>
      <c r="I35" s="128"/>
      <c r="J35" s="122"/>
      <c r="K35" s="122"/>
      <c r="L35" s="122"/>
      <c r="M35" s="122"/>
      <c r="N35" s="122"/>
      <c r="O35" s="122"/>
      <c r="P35" s="122"/>
      <c r="Q35" s="122"/>
      <c r="R35" s="122"/>
      <c r="S35" s="122"/>
      <c r="T35" s="122"/>
      <c r="U35" s="122"/>
      <c r="V35" s="122"/>
      <c r="W35" s="122"/>
      <c r="X35" s="122"/>
      <c r="Y35" s="122"/>
      <c r="Z35" s="122"/>
      <c r="AA35" s="122"/>
      <c r="AB35" s="122"/>
      <c r="AC35" s="122"/>
      <c r="AD35" s="122"/>
      <c r="AE35" s="122"/>
      <c r="AF35" s="122"/>
      <c r="AG35" s="122"/>
      <c r="AH35" s="122"/>
      <c r="AI35" s="122"/>
      <c r="AJ35" s="122"/>
      <c r="AK35" s="122"/>
      <c r="AL35" s="122"/>
      <c r="AM35" s="122"/>
    </row>
    <row r="36" spans="1:39" s="123" customFormat="1" x14ac:dyDescent="0.25">
      <c r="A36" s="142"/>
      <c r="B36" s="440" t="s">
        <v>167</v>
      </c>
      <c r="C36" s="441"/>
      <c r="D36" s="228"/>
      <c r="E36" s="437"/>
      <c r="F36" s="437"/>
      <c r="G36" s="437"/>
      <c r="H36" s="238"/>
      <c r="I36" s="128"/>
      <c r="J36" s="122"/>
      <c r="K36" s="122"/>
      <c r="L36" s="122"/>
      <c r="M36" s="122"/>
      <c r="N36" s="122"/>
      <c r="O36" s="122"/>
      <c r="P36" s="122"/>
      <c r="Q36" s="122"/>
      <c r="R36" s="122"/>
      <c r="S36" s="122"/>
      <c r="T36" s="122"/>
      <c r="U36" s="122"/>
      <c r="V36" s="122"/>
      <c r="W36" s="122"/>
      <c r="X36" s="122"/>
      <c r="Y36" s="122"/>
      <c r="Z36" s="122"/>
      <c r="AA36" s="122"/>
      <c r="AB36" s="122"/>
      <c r="AC36" s="122"/>
      <c r="AD36" s="122"/>
      <c r="AE36" s="122"/>
      <c r="AF36" s="122"/>
      <c r="AG36" s="122"/>
      <c r="AH36" s="122"/>
      <c r="AI36" s="122"/>
      <c r="AJ36" s="122"/>
      <c r="AK36" s="122"/>
      <c r="AL36" s="122"/>
      <c r="AM36" s="122"/>
    </row>
    <row r="37" spans="1:39" s="123" customFormat="1" x14ac:dyDescent="0.25">
      <c r="A37" s="142"/>
      <c r="B37" s="440" t="s">
        <v>165</v>
      </c>
      <c r="C37" s="441"/>
      <c r="D37" s="235"/>
      <c r="E37" s="441"/>
      <c r="F37" s="441"/>
      <c r="G37" s="441"/>
      <c r="H37" s="238"/>
      <c r="I37" s="128"/>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row>
    <row r="38" spans="1:39" s="233" customFormat="1" x14ac:dyDescent="0.25">
      <c r="A38" s="230"/>
      <c r="B38" s="438"/>
      <c r="C38" s="439"/>
      <c r="D38" s="237"/>
      <c r="E38" s="466"/>
      <c r="F38" s="466"/>
      <c r="G38" s="466"/>
      <c r="H38" s="239"/>
      <c r="I38" s="231"/>
      <c r="J38" s="232"/>
      <c r="K38" s="232"/>
      <c r="L38" s="232"/>
      <c r="M38" s="232"/>
      <c r="N38" s="232"/>
      <c r="O38" s="232"/>
      <c r="P38" s="232"/>
      <c r="Q38" s="232"/>
      <c r="R38" s="232"/>
      <c r="S38" s="232"/>
      <c r="T38" s="232"/>
      <c r="U38" s="232"/>
      <c r="V38" s="232"/>
      <c r="W38" s="232"/>
      <c r="X38" s="232"/>
      <c r="Y38" s="232"/>
      <c r="Z38" s="232"/>
      <c r="AA38" s="232"/>
      <c r="AB38" s="232"/>
      <c r="AC38" s="232"/>
      <c r="AD38" s="232"/>
      <c r="AE38" s="232"/>
      <c r="AF38" s="232"/>
      <c r="AG38" s="232"/>
      <c r="AH38" s="232"/>
      <c r="AI38" s="232"/>
      <c r="AJ38" s="232"/>
      <c r="AK38" s="232"/>
      <c r="AL38" s="232"/>
      <c r="AM38" s="232"/>
    </row>
    <row r="39" spans="1:39" x14ac:dyDescent="0.25">
      <c r="A39" s="76"/>
      <c r="B39" s="186" t="s">
        <v>52</v>
      </c>
      <c r="C39" s="21"/>
      <c r="D39" s="209"/>
      <c r="E39" s="28" t="s">
        <v>92</v>
      </c>
      <c r="F39" s="28"/>
      <c r="G39" s="18"/>
      <c r="H39" s="201"/>
      <c r="I39" s="96"/>
    </row>
    <row r="40" spans="1:39" x14ac:dyDescent="0.25">
      <c r="A40" s="76"/>
      <c r="B40" s="210"/>
      <c r="C40" s="196"/>
      <c r="D40" s="208"/>
      <c r="E40" s="429"/>
      <c r="F40" s="429"/>
      <c r="G40" s="429"/>
      <c r="H40" s="190"/>
      <c r="I40" s="76"/>
    </row>
    <row r="41" spans="1:39" x14ac:dyDescent="0.25">
      <c r="A41" s="96"/>
      <c r="B41" s="211" t="s">
        <v>277</v>
      </c>
      <c r="C41" s="212"/>
      <c r="D41" s="213"/>
      <c r="E41" s="212" t="s">
        <v>92</v>
      </c>
      <c r="F41" s="28"/>
      <c r="G41" s="18"/>
      <c r="H41" s="187"/>
      <c r="I41" s="76"/>
    </row>
    <row r="42" spans="1:39" x14ac:dyDescent="0.25">
      <c r="A42" s="77"/>
      <c r="B42" s="195"/>
      <c r="C42" s="196"/>
      <c r="D42" s="208"/>
      <c r="E42" s="429"/>
      <c r="F42" s="429"/>
      <c r="G42" s="429"/>
      <c r="H42" s="199"/>
      <c r="I42" s="28"/>
    </row>
    <row r="43" spans="1:39" s="123" customFormat="1" x14ac:dyDescent="0.25">
      <c r="A43" s="142"/>
      <c r="B43" s="180"/>
      <c r="C43" s="125"/>
      <c r="D43" s="138"/>
      <c r="E43" s="138"/>
      <c r="F43" s="138"/>
      <c r="G43" s="138"/>
      <c r="H43" s="191"/>
      <c r="I43" s="138"/>
      <c r="J43" s="122"/>
      <c r="K43" s="122"/>
      <c r="L43" s="122"/>
      <c r="M43" s="122"/>
      <c r="N43" s="122"/>
      <c r="O43" s="122"/>
      <c r="P43" s="122"/>
      <c r="Q43" s="122"/>
      <c r="R43" s="122"/>
      <c r="S43" s="122"/>
      <c r="T43" s="122"/>
      <c r="U43" s="122"/>
      <c r="V43" s="122"/>
      <c r="W43" s="122"/>
      <c r="X43" s="122"/>
      <c r="Y43" s="122"/>
      <c r="Z43" s="122"/>
      <c r="AA43" s="122"/>
      <c r="AB43" s="122"/>
      <c r="AC43" s="122"/>
      <c r="AD43" s="122"/>
      <c r="AE43" s="122"/>
      <c r="AF43" s="122"/>
      <c r="AG43" s="122"/>
      <c r="AH43" s="122"/>
      <c r="AI43" s="122"/>
      <c r="AJ43" s="122"/>
      <c r="AK43" s="122"/>
      <c r="AL43" s="122"/>
      <c r="AM43" s="122"/>
    </row>
    <row r="44" spans="1:39" x14ac:dyDescent="0.25">
      <c r="A44" s="76"/>
      <c r="B44" s="416" t="s">
        <v>283</v>
      </c>
      <c r="C44" s="28"/>
      <c r="D44" s="28"/>
      <c r="E44" s="6"/>
      <c r="F44" s="5"/>
      <c r="G44" s="171"/>
      <c r="H44" s="187"/>
      <c r="I44" s="96"/>
    </row>
    <row r="45" spans="1:39" x14ac:dyDescent="0.25">
      <c r="A45" s="76"/>
      <c r="B45" s="416"/>
      <c r="C45" s="425"/>
      <c r="D45" s="425"/>
      <c r="E45" s="8"/>
      <c r="F45" s="28"/>
      <c r="G45" s="172"/>
      <c r="H45" s="23"/>
      <c r="I45" s="76"/>
    </row>
    <row r="46" spans="1:39" x14ac:dyDescent="0.25">
      <c r="A46" s="104"/>
      <c r="B46" s="179"/>
      <c r="C46" s="188"/>
      <c r="D46" s="188"/>
      <c r="E46" s="188"/>
      <c r="F46" s="208"/>
      <c r="G46" s="189" t="b">
        <f>NOT(OR(G48&lt;0,G49&lt;0,G48&gt;100,G49&gt;100,SUM(G48:G49)&gt;100,NOT(OR(ISNUMBER(G48),ISBLANK(G48))),NOT(OR(ISNUMBER(G49),ISBLANK(G49)))))</f>
        <v>1</v>
      </c>
      <c r="H46" s="199"/>
      <c r="I46" s="28"/>
    </row>
    <row r="47" spans="1:39" x14ac:dyDescent="0.25">
      <c r="A47" s="104"/>
      <c r="B47" s="185" t="s">
        <v>234</v>
      </c>
      <c r="C47" s="121"/>
      <c r="D47" s="121"/>
      <c r="E47" s="138"/>
      <c r="F47" s="120"/>
      <c r="G47" s="104" t="s">
        <v>282</v>
      </c>
      <c r="H47" s="168"/>
      <c r="I47" s="218"/>
    </row>
    <row r="48" spans="1:39" x14ac:dyDescent="0.25">
      <c r="A48" s="104"/>
      <c r="B48" s="167" t="s">
        <v>235</v>
      </c>
      <c r="C48" s="449"/>
      <c r="D48" s="450"/>
      <c r="E48" s="451"/>
      <c r="F48" s="104"/>
      <c r="G48" s="170"/>
      <c r="H48" s="181" t="s">
        <v>305</v>
      </c>
      <c r="I48" s="218"/>
    </row>
    <row r="49" spans="1:39" x14ac:dyDescent="0.25">
      <c r="A49" s="104"/>
      <c r="B49" s="167" t="s">
        <v>236</v>
      </c>
      <c r="C49" s="449"/>
      <c r="D49" s="450"/>
      <c r="E49" s="451"/>
      <c r="F49" s="104"/>
      <c r="G49" s="170"/>
      <c r="H49" s="168" t="s">
        <v>305</v>
      </c>
      <c r="I49" s="218"/>
    </row>
    <row r="50" spans="1:39" x14ac:dyDescent="0.25">
      <c r="A50" s="104"/>
      <c r="B50" s="182"/>
      <c r="C50" s="183"/>
      <c r="D50" s="183"/>
      <c r="E50" s="183"/>
      <c r="F50" s="183"/>
      <c r="G50" s="183"/>
      <c r="H50" s="184"/>
      <c r="I50" s="218"/>
    </row>
    <row r="51" spans="1:39" x14ac:dyDescent="0.25">
      <c r="A51" s="70"/>
      <c r="B51" s="70"/>
      <c r="C51" s="70"/>
      <c r="D51" s="70"/>
      <c r="E51" s="70"/>
      <c r="F51" s="70"/>
      <c r="G51" s="70"/>
      <c r="H51" s="71"/>
      <c r="I51" s="219"/>
    </row>
    <row r="52" spans="1:39" x14ac:dyDescent="0.25">
      <c r="A52" s="70"/>
      <c r="B52" s="70"/>
      <c r="C52" s="70"/>
      <c r="D52" s="70"/>
      <c r="E52" s="70"/>
      <c r="F52" s="70"/>
      <c r="G52" s="70"/>
      <c r="H52" s="71"/>
      <c r="I52" s="220"/>
    </row>
    <row r="53" spans="1:39" x14ac:dyDescent="0.25">
      <c r="A53" s="70"/>
      <c r="B53" s="70"/>
      <c r="C53" s="70"/>
      <c r="D53" s="70"/>
      <c r="E53" s="70"/>
      <c r="F53" s="70"/>
      <c r="G53" s="70"/>
      <c r="H53" s="71"/>
      <c r="I53" s="105"/>
    </row>
    <row r="54" spans="1:39" x14ac:dyDescent="0.25">
      <c r="A54" s="70"/>
      <c r="B54" s="71"/>
      <c r="C54" s="70"/>
      <c r="D54" s="70"/>
      <c r="E54" s="71"/>
      <c r="F54" s="71"/>
      <c r="G54" s="70"/>
      <c r="H54" s="71"/>
      <c r="I54" s="105"/>
    </row>
    <row r="55" spans="1:39" x14ac:dyDescent="0.25">
      <c r="A55" s="70"/>
      <c r="B55" s="70"/>
      <c r="C55" s="70"/>
      <c r="D55" s="70"/>
      <c r="E55" s="71"/>
      <c r="F55" s="72"/>
      <c r="G55" s="73"/>
      <c r="H55" s="71"/>
      <c r="I55" s="105"/>
    </row>
    <row r="56" spans="1:39" x14ac:dyDescent="0.25">
      <c r="A56" s="74"/>
      <c r="B56" s="133" t="s">
        <v>284</v>
      </c>
      <c r="C56" s="85"/>
      <c r="D56" s="85"/>
      <c r="E56" s="85"/>
      <c r="F56" s="85"/>
      <c r="G56" s="85"/>
      <c r="H56" s="83"/>
      <c r="I56" s="96"/>
    </row>
    <row r="57" spans="1:39" ht="15.75" thickBot="1" x14ac:dyDescent="0.3">
      <c r="A57" s="132"/>
      <c r="B57" s="442"/>
      <c r="C57" s="442"/>
      <c r="D57" s="442"/>
      <c r="E57" s="442"/>
      <c r="F57" s="442"/>
      <c r="G57" s="442"/>
      <c r="H57" s="442"/>
      <c r="I57" s="106"/>
    </row>
    <row r="58" spans="1:39" x14ac:dyDescent="0.25">
      <c r="A58" s="131"/>
      <c r="B58" s="135"/>
      <c r="C58" s="136"/>
      <c r="D58" s="136"/>
      <c r="E58" s="136"/>
      <c r="F58" s="136"/>
      <c r="G58" s="136"/>
      <c r="H58" s="136"/>
      <c r="I58" s="128"/>
    </row>
    <row r="59" spans="1:39" x14ac:dyDescent="0.25">
      <c r="A59" s="137"/>
      <c r="B59" s="138" t="s">
        <v>285</v>
      </c>
      <c r="C59" s="138"/>
      <c r="D59" s="138"/>
      <c r="E59" s="138"/>
      <c r="F59" s="138"/>
      <c r="G59" s="138"/>
      <c r="H59" s="138"/>
      <c r="I59" s="128"/>
    </row>
    <row r="60" spans="1:39" ht="15.75" thickBot="1" x14ac:dyDescent="0.3">
      <c r="A60" s="132"/>
      <c r="B60" s="442"/>
      <c r="C60" s="442"/>
      <c r="D60" s="442"/>
      <c r="E60" s="442"/>
      <c r="F60" s="442"/>
      <c r="G60" s="442"/>
      <c r="H60" s="442"/>
      <c r="I60" s="106"/>
    </row>
    <row r="61" spans="1:39" s="123" customFormat="1" x14ac:dyDescent="0.25">
      <c r="A61" s="139"/>
      <c r="B61" s="140"/>
      <c r="C61" s="140"/>
      <c r="D61" s="140"/>
      <c r="E61" s="140"/>
      <c r="F61" s="140"/>
      <c r="G61" s="140"/>
      <c r="H61" s="140"/>
      <c r="I61" s="128"/>
      <c r="J61" s="122"/>
      <c r="K61" s="122"/>
      <c r="L61" s="122"/>
      <c r="M61" s="122"/>
      <c r="N61" s="122"/>
      <c r="O61" s="122"/>
      <c r="P61" s="122"/>
      <c r="Q61" s="122"/>
      <c r="R61" s="122"/>
      <c r="S61" s="122"/>
      <c r="T61" s="122"/>
      <c r="U61" s="122"/>
      <c r="V61" s="122"/>
      <c r="W61" s="122"/>
      <c r="X61" s="122"/>
      <c r="Y61" s="122"/>
      <c r="Z61" s="122"/>
      <c r="AA61" s="122"/>
      <c r="AB61" s="122"/>
      <c r="AC61" s="122"/>
      <c r="AD61" s="122"/>
      <c r="AE61" s="122"/>
      <c r="AF61" s="122"/>
      <c r="AG61" s="122"/>
      <c r="AH61" s="122"/>
      <c r="AI61" s="122"/>
      <c r="AJ61" s="122"/>
      <c r="AK61" s="122"/>
      <c r="AL61" s="122"/>
      <c r="AM61" s="122"/>
    </row>
    <row r="62" spans="1:39" x14ac:dyDescent="0.25">
      <c r="A62" s="74"/>
      <c r="B62" s="134" t="s">
        <v>286</v>
      </c>
      <c r="C62" s="85"/>
      <c r="D62" s="85"/>
      <c r="E62" s="85"/>
      <c r="F62" s="85"/>
      <c r="G62" s="85"/>
      <c r="H62" s="85"/>
      <c r="I62" s="96"/>
    </row>
    <row r="63" spans="1:39" ht="15.75" thickBot="1" x14ac:dyDescent="0.3">
      <c r="A63" s="132"/>
      <c r="B63" s="455"/>
      <c r="C63" s="455"/>
      <c r="D63" s="455"/>
      <c r="E63" s="455"/>
      <c r="F63" s="455"/>
      <c r="G63" s="455"/>
      <c r="H63" s="455"/>
      <c r="I63" s="106"/>
    </row>
    <row r="64" spans="1:39" x14ac:dyDescent="0.25">
      <c r="A64" s="70"/>
      <c r="B64" s="70"/>
      <c r="C64" s="70"/>
      <c r="D64" s="70"/>
      <c r="E64" s="70"/>
      <c r="F64" s="70"/>
      <c r="G64" s="70"/>
      <c r="H64" s="70"/>
      <c r="I64" s="70"/>
    </row>
    <row r="65" spans="1:39" x14ac:dyDescent="0.25">
      <c r="A65" s="70"/>
      <c r="B65" s="70"/>
      <c r="C65" s="70"/>
      <c r="D65" s="70"/>
      <c r="E65" s="70"/>
      <c r="F65" s="70"/>
      <c r="G65" s="70"/>
      <c r="H65" s="70"/>
      <c r="I65" s="70"/>
    </row>
    <row r="66" spans="1:39" x14ac:dyDescent="0.25">
      <c r="A66" s="73"/>
      <c r="B66" s="71"/>
      <c r="C66" s="71"/>
      <c r="D66" s="71"/>
      <c r="E66" s="71"/>
      <c r="F66" s="71"/>
      <c r="G66" s="71"/>
      <c r="H66" s="71"/>
      <c r="I66" s="105"/>
    </row>
    <row r="67" spans="1:39" x14ac:dyDescent="0.25">
      <c r="A67" s="73"/>
      <c r="B67" s="72"/>
      <c r="C67" s="72"/>
      <c r="D67" s="72"/>
      <c r="E67" s="72"/>
      <c r="F67" s="72"/>
      <c r="G67" s="72"/>
      <c r="H67" s="71"/>
      <c r="I67" s="105"/>
    </row>
    <row r="68" spans="1:39" x14ac:dyDescent="0.25">
      <c r="A68" s="73"/>
      <c r="B68" s="72"/>
      <c r="C68" s="72"/>
      <c r="D68" s="72"/>
      <c r="E68" s="72"/>
      <c r="F68" s="72"/>
      <c r="G68" s="72"/>
      <c r="H68" s="71"/>
      <c r="I68" s="107"/>
    </row>
    <row r="69" spans="1:39" x14ac:dyDescent="0.25">
      <c r="A69" s="73"/>
      <c r="B69" s="72"/>
      <c r="C69" s="72"/>
      <c r="D69" s="72"/>
      <c r="E69" s="72"/>
      <c r="F69" s="72"/>
      <c r="G69" s="72"/>
      <c r="H69" s="71"/>
      <c r="I69" s="105"/>
    </row>
    <row r="70" spans="1:39" ht="15" customHeight="1" x14ac:dyDescent="0.25">
      <c r="A70" s="73"/>
      <c r="B70" s="72"/>
      <c r="C70" s="87"/>
      <c r="D70" s="76"/>
      <c r="E70" s="72"/>
      <c r="F70" s="73"/>
      <c r="G70" s="88"/>
      <c r="H70" s="72"/>
      <c r="I70" s="96"/>
    </row>
    <row r="71" spans="1:39" ht="15" customHeight="1" x14ac:dyDescent="0.25">
      <c r="A71" s="73"/>
      <c r="B71" s="89" t="s">
        <v>128</v>
      </c>
      <c r="C71" s="90"/>
      <c r="D71" s="72"/>
      <c r="E71" s="443" t="s">
        <v>237</v>
      </c>
      <c r="F71" s="444"/>
      <c r="G71" s="445"/>
      <c r="H71" s="101"/>
      <c r="I71" s="108"/>
    </row>
    <row r="72" spans="1:39" ht="15" customHeight="1" x14ac:dyDescent="0.25">
      <c r="A72" s="75"/>
      <c r="B72" s="83" t="s">
        <v>92</v>
      </c>
      <c r="C72" s="84"/>
      <c r="D72" s="72"/>
      <c r="E72" s="446"/>
      <c r="F72" s="447"/>
      <c r="G72" s="448"/>
      <c r="H72" s="221"/>
      <c r="I72" s="77"/>
    </row>
    <row r="73" spans="1:39" ht="15" customHeight="1" x14ac:dyDescent="0.25">
      <c r="A73" s="73"/>
      <c r="B73" s="419"/>
      <c r="C73" s="420"/>
      <c r="D73" s="85"/>
      <c r="E73" s="111" t="s">
        <v>311</v>
      </c>
      <c r="F73" s="111"/>
      <c r="G73" s="111"/>
      <c r="H73" s="221"/>
      <c r="I73" s="76"/>
    </row>
    <row r="74" spans="1:39" ht="15" customHeight="1" x14ac:dyDescent="0.25">
      <c r="A74" s="75"/>
      <c r="B74" s="83" t="s">
        <v>172</v>
      </c>
      <c r="C74" s="84"/>
      <c r="D74" s="83"/>
      <c r="E74" s="111" t="s">
        <v>238</v>
      </c>
      <c r="F74" s="111"/>
      <c r="G74" s="111"/>
      <c r="H74" s="221"/>
      <c r="I74" s="96"/>
    </row>
    <row r="75" spans="1:39" ht="15" customHeight="1" x14ac:dyDescent="0.25">
      <c r="A75" s="73"/>
      <c r="B75" s="421"/>
      <c r="C75" s="422"/>
      <c r="D75" s="72"/>
      <c r="E75" s="102"/>
      <c r="F75" s="423"/>
      <c r="G75" s="424"/>
      <c r="H75" s="72"/>
      <c r="I75" s="77"/>
    </row>
    <row r="76" spans="1:39" ht="15" customHeight="1" x14ac:dyDescent="0.25">
      <c r="A76" s="70"/>
      <c r="B76" s="70"/>
      <c r="C76" s="70"/>
      <c r="D76" s="72"/>
      <c r="E76" s="101"/>
      <c r="F76" s="423"/>
      <c r="G76" s="424"/>
      <c r="H76" s="72"/>
      <c r="I76" s="77"/>
    </row>
    <row r="77" spans="1:39" ht="14.25" customHeight="1" x14ac:dyDescent="0.25">
      <c r="A77" s="73"/>
      <c r="B77" s="97" t="s">
        <v>300</v>
      </c>
      <c r="C77" s="72"/>
      <c r="D77" s="71"/>
      <c r="E77" s="71"/>
      <c r="F77" s="71"/>
      <c r="G77" s="72"/>
      <c r="I77" s="96"/>
    </row>
    <row r="78" spans="1:39" s="123" customFormat="1" ht="14.25" customHeight="1" x14ac:dyDescent="0.25">
      <c r="A78" s="118"/>
      <c r="B78" s="91"/>
      <c r="D78" s="126"/>
      <c r="E78" s="126"/>
      <c r="F78" s="144"/>
      <c r="G78" s="126"/>
      <c r="H78" s="145"/>
      <c r="I78" s="128"/>
      <c r="J78" s="122"/>
      <c r="K78" s="122"/>
      <c r="L78" s="122"/>
      <c r="M78" s="122"/>
      <c r="N78" s="122"/>
      <c r="O78" s="122"/>
      <c r="P78" s="122"/>
      <c r="Q78" s="122"/>
      <c r="R78" s="122"/>
      <c r="S78" s="122"/>
      <c r="T78" s="122"/>
      <c r="U78" s="122"/>
      <c r="V78" s="122"/>
      <c r="W78" s="122"/>
      <c r="X78" s="122"/>
      <c r="Y78" s="122"/>
      <c r="Z78" s="122"/>
      <c r="AA78" s="122"/>
      <c r="AB78" s="122"/>
      <c r="AC78" s="122"/>
      <c r="AD78" s="122"/>
      <c r="AE78" s="122"/>
      <c r="AF78" s="122"/>
      <c r="AG78" s="122"/>
      <c r="AH78" s="122"/>
      <c r="AI78" s="122"/>
      <c r="AJ78" s="122"/>
      <c r="AK78" s="122"/>
      <c r="AL78" s="122"/>
      <c r="AM78" s="122"/>
    </row>
    <row r="79" spans="1:39" ht="14.25" customHeight="1" x14ac:dyDescent="0.25">
      <c r="A79" s="73"/>
      <c r="B79" s="97"/>
      <c r="C79" s="71"/>
      <c r="D79" s="71"/>
      <c r="E79" s="71"/>
      <c r="F79" s="78"/>
      <c r="G79" s="71"/>
      <c r="H79" s="71"/>
      <c r="I79" s="96"/>
    </row>
    <row r="80" spans="1:39" x14ac:dyDescent="0.25">
      <c r="A80" s="73"/>
      <c r="B80" s="129" t="s">
        <v>304</v>
      </c>
      <c r="C80" s="71"/>
      <c r="D80" s="71"/>
      <c r="E80" s="71"/>
      <c r="F80" s="92"/>
      <c r="G80" s="71"/>
      <c r="H80" s="71"/>
      <c r="I80" s="96"/>
    </row>
    <row r="81" spans="1:39" x14ac:dyDescent="0.25">
      <c r="A81" s="72"/>
      <c r="B81" s="467"/>
      <c r="C81" s="468"/>
      <c r="D81" s="71"/>
      <c r="E81" s="71"/>
      <c r="F81" s="70"/>
      <c r="G81" s="70"/>
      <c r="H81" s="70"/>
      <c r="I81" s="76"/>
    </row>
    <row r="82" spans="1:39" s="123" customFormat="1" x14ac:dyDescent="0.25">
      <c r="A82" s="127"/>
      <c r="B82" s="143"/>
      <c r="C82" s="143"/>
      <c r="D82" s="126"/>
      <c r="E82" s="126"/>
      <c r="F82" s="121"/>
      <c r="G82" s="121"/>
      <c r="H82" s="121"/>
      <c r="I82" s="128"/>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122"/>
      <c r="AH82" s="122"/>
      <c r="AI82" s="122"/>
      <c r="AJ82" s="122"/>
      <c r="AK82" s="122"/>
      <c r="AL82" s="122"/>
      <c r="AM82" s="122"/>
    </row>
    <row r="83" spans="1:39" x14ac:dyDescent="0.25">
      <c r="A83" s="75"/>
      <c r="B83" s="71" t="s">
        <v>141</v>
      </c>
      <c r="C83" s="71"/>
      <c r="D83" s="71"/>
      <c r="E83" s="71"/>
      <c r="F83" s="70"/>
      <c r="G83" s="70"/>
      <c r="H83" s="70"/>
      <c r="I83" s="96"/>
    </row>
    <row r="84" spans="1:39" x14ac:dyDescent="0.25">
      <c r="A84" s="93"/>
      <c r="B84" s="467"/>
      <c r="C84" s="468"/>
      <c r="D84" s="71"/>
      <c r="E84" s="71"/>
      <c r="F84" s="70"/>
      <c r="G84" s="70"/>
      <c r="H84" s="70"/>
      <c r="I84" s="96"/>
    </row>
    <row r="85" spans="1:39" x14ac:dyDescent="0.25">
      <c r="A85" s="73"/>
      <c r="B85" s="72"/>
      <c r="C85" s="71"/>
      <c r="D85" s="72"/>
      <c r="E85" s="72"/>
      <c r="F85" s="72"/>
      <c r="G85" s="72"/>
      <c r="H85" s="71"/>
      <c r="I85" s="105"/>
    </row>
    <row r="86" spans="1:39" x14ac:dyDescent="0.25">
      <c r="A86" s="73"/>
      <c r="B86" s="72"/>
      <c r="C86" s="71"/>
      <c r="D86" s="72"/>
      <c r="E86" s="72"/>
      <c r="F86" s="72"/>
      <c r="G86" s="72"/>
      <c r="H86" s="71"/>
      <c r="I86" s="105"/>
    </row>
    <row r="87" spans="1:39" x14ac:dyDescent="0.25">
      <c r="A87" s="73"/>
      <c r="B87" s="72"/>
      <c r="C87" s="72"/>
      <c r="D87" s="72"/>
      <c r="E87" s="72"/>
      <c r="F87" s="72"/>
      <c r="G87" s="72"/>
      <c r="H87" s="71"/>
      <c r="I87" s="105"/>
    </row>
    <row r="88" spans="1:39" x14ac:dyDescent="0.25">
      <c r="A88" s="73"/>
      <c r="B88" s="72"/>
      <c r="C88" s="72"/>
      <c r="D88" s="72"/>
      <c r="E88" s="72"/>
      <c r="F88" s="72"/>
      <c r="G88" s="72"/>
      <c r="H88" s="71"/>
      <c r="I88" s="107"/>
    </row>
    <row r="89" spans="1:39" x14ac:dyDescent="0.25">
      <c r="A89" s="73"/>
      <c r="B89" s="72"/>
      <c r="C89" s="72"/>
      <c r="D89" s="72"/>
      <c r="E89" s="72"/>
      <c r="F89" s="72"/>
      <c r="G89" s="72"/>
      <c r="H89" s="71"/>
      <c r="I89" s="105"/>
    </row>
    <row r="90" spans="1:39" x14ac:dyDescent="0.25">
      <c r="A90" s="73"/>
      <c r="B90" s="86" t="s">
        <v>278</v>
      </c>
      <c r="C90" s="72"/>
      <c r="D90" s="72"/>
      <c r="E90" s="83"/>
      <c r="F90" s="72"/>
      <c r="G90" s="72"/>
      <c r="H90" s="85"/>
      <c r="I90" s="77"/>
    </row>
    <row r="91" spans="1:39" x14ac:dyDescent="0.25">
      <c r="A91" s="73"/>
      <c r="B91" s="72"/>
      <c r="C91" s="72" t="s">
        <v>301</v>
      </c>
      <c r="D91" s="77"/>
      <c r="E91" s="94"/>
      <c r="F91" s="73"/>
      <c r="G91" s="77" t="s">
        <v>69</v>
      </c>
      <c r="H91" s="79"/>
      <c r="I91" s="108"/>
    </row>
    <row r="92" spans="1:39" x14ac:dyDescent="0.25">
      <c r="A92" s="73"/>
      <c r="B92" s="72"/>
      <c r="C92" s="72"/>
      <c r="D92" s="72"/>
      <c r="E92" s="81"/>
      <c r="F92" s="72"/>
      <c r="G92" s="72"/>
      <c r="H92" s="95"/>
      <c r="I92" s="77"/>
    </row>
    <row r="93" spans="1:39" x14ac:dyDescent="0.25">
      <c r="A93" s="73"/>
      <c r="B93" s="72"/>
      <c r="C93" s="72" t="s">
        <v>64</v>
      </c>
      <c r="D93" s="77"/>
      <c r="E93" s="94"/>
      <c r="F93" s="73"/>
      <c r="G93" s="77" t="s">
        <v>70</v>
      </c>
      <c r="H93" s="79"/>
      <c r="I93" s="96"/>
    </row>
    <row r="94" spans="1:39" x14ac:dyDescent="0.25">
      <c r="A94" s="73"/>
      <c r="B94" s="72"/>
      <c r="C94" s="72"/>
      <c r="D94" s="72"/>
      <c r="E94" s="81"/>
      <c r="F94" s="72"/>
      <c r="G94" s="72"/>
      <c r="H94" s="95"/>
      <c r="I94" s="77"/>
    </row>
    <row r="95" spans="1:39" x14ac:dyDescent="0.25">
      <c r="A95" s="73"/>
      <c r="B95" s="72"/>
      <c r="C95" s="72" t="s">
        <v>65</v>
      </c>
      <c r="D95" s="77"/>
      <c r="E95" s="94"/>
      <c r="F95" s="73"/>
      <c r="G95" s="77" t="s">
        <v>71</v>
      </c>
      <c r="H95" s="79"/>
      <c r="I95" s="108"/>
    </row>
    <row r="96" spans="1:39" x14ac:dyDescent="0.25">
      <c r="A96" s="73"/>
      <c r="B96" s="72"/>
      <c r="C96" s="72"/>
      <c r="D96" s="72"/>
      <c r="E96" s="95"/>
      <c r="F96" s="72"/>
      <c r="G96" s="72"/>
      <c r="H96" s="88"/>
      <c r="I96" s="96"/>
    </row>
    <row r="97" spans="1:39" x14ac:dyDescent="0.25">
      <c r="A97" s="73"/>
      <c r="B97" s="72"/>
      <c r="C97" s="72" t="s">
        <v>66</v>
      </c>
      <c r="D97" s="77"/>
      <c r="E97" s="79"/>
      <c r="F97" s="73"/>
      <c r="G97" s="72" t="s">
        <v>72</v>
      </c>
      <c r="H97" s="79"/>
      <c r="I97" s="96"/>
    </row>
    <row r="98" spans="1:39" x14ac:dyDescent="0.25">
      <c r="A98" s="73"/>
      <c r="B98" s="72"/>
      <c r="C98" s="72"/>
      <c r="D98" s="72"/>
      <c r="E98" s="85"/>
      <c r="F98" s="72"/>
      <c r="G98" s="72"/>
      <c r="H98" s="85"/>
      <c r="I98" s="96"/>
    </row>
    <row r="99" spans="1:39" x14ac:dyDescent="0.25">
      <c r="A99" s="73"/>
      <c r="B99" s="72"/>
      <c r="C99" s="72" t="s">
        <v>67</v>
      </c>
      <c r="D99" s="77"/>
      <c r="E99" s="79"/>
      <c r="F99" s="80"/>
      <c r="G99" s="77"/>
      <c r="H99" s="72"/>
      <c r="I99" s="96"/>
    </row>
    <row r="100" spans="1:39" x14ac:dyDescent="0.25">
      <c r="A100" s="73"/>
      <c r="B100" s="72"/>
      <c r="C100" s="72"/>
      <c r="D100" s="72"/>
      <c r="E100" s="95"/>
      <c r="F100" s="72"/>
      <c r="G100" s="72"/>
      <c r="H100" s="71"/>
      <c r="I100" s="96"/>
    </row>
    <row r="101" spans="1:39" x14ac:dyDescent="0.25">
      <c r="A101" s="73"/>
      <c r="B101" s="72"/>
      <c r="C101" s="72" t="s">
        <v>68</v>
      </c>
      <c r="D101" s="77"/>
      <c r="E101" s="79"/>
      <c r="F101" s="80"/>
      <c r="G101" s="72" t="s">
        <v>73</v>
      </c>
      <c r="H101" s="79"/>
      <c r="I101" s="96"/>
    </row>
    <row r="102" spans="1:39" x14ac:dyDescent="0.25">
      <c r="A102" s="73"/>
      <c r="B102" s="72"/>
      <c r="C102" s="73"/>
      <c r="D102" s="73"/>
      <c r="E102" s="73"/>
      <c r="F102" s="73"/>
      <c r="G102" s="77"/>
      <c r="H102" s="72"/>
      <c r="I102" s="108"/>
    </row>
    <row r="103" spans="1:39" x14ac:dyDescent="0.25">
      <c r="A103" s="73"/>
      <c r="B103" s="72"/>
      <c r="C103" s="72" t="s">
        <v>74</v>
      </c>
      <c r="D103" s="72"/>
      <c r="E103" s="83"/>
      <c r="F103" s="83"/>
      <c r="G103" s="83"/>
      <c r="H103" s="95"/>
      <c r="I103" s="96"/>
    </row>
    <row r="104" spans="1:39" x14ac:dyDescent="0.25">
      <c r="A104" s="73"/>
      <c r="B104" s="77"/>
      <c r="C104" s="472"/>
      <c r="D104" s="473"/>
      <c r="E104" s="473"/>
      <c r="F104" s="473"/>
      <c r="G104" s="473"/>
      <c r="H104" s="474"/>
      <c r="I104" s="108"/>
    </row>
    <row r="105" spans="1:39" s="123" customFormat="1" x14ac:dyDescent="0.25">
      <c r="A105" s="118"/>
      <c r="B105" s="124"/>
      <c r="C105" s="130"/>
      <c r="D105" s="130"/>
      <c r="E105" s="130"/>
      <c r="F105" s="130"/>
      <c r="G105" s="130"/>
      <c r="H105" s="130"/>
      <c r="I105" s="128"/>
      <c r="J105" s="122"/>
      <c r="K105" s="122"/>
      <c r="L105" s="122"/>
      <c r="M105" s="122"/>
      <c r="N105" s="122"/>
      <c r="O105" s="122"/>
      <c r="P105" s="122"/>
      <c r="Q105" s="122"/>
      <c r="R105" s="122"/>
      <c r="S105" s="122"/>
      <c r="T105" s="122"/>
      <c r="U105" s="122"/>
      <c r="V105" s="122"/>
      <c r="W105" s="122"/>
      <c r="X105" s="122"/>
      <c r="Y105" s="122"/>
      <c r="Z105" s="122"/>
      <c r="AA105" s="122"/>
      <c r="AB105" s="122"/>
      <c r="AC105" s="122"/>
      <c r="AD105" s="122"/>
      <c r="AE105" s="122"/>
      <c r="AF105" s="122"/>
      <c r="AG105" s="122"/>
      <c r="AH105" s="122"/>
      <c r="AI105" s="122"/>
      <c r="AJ105" s="122"/>
      <c r="AK105" s="122"/>
      <c r="AL105" s="122"/>
      <c r="AM105" s="122"/>
    </row>
    <row r="106" spans="1:39" x14ac:dyDescent="0.25">
      <c r="A106" s="73"/>
      <c r="B106" s="141" t="s">
        <v>93</v>
      </c>
      <c r="C106" s="85"/>
      <c r="D106" s="71"/>
      <c r="E106" s="71"/>
      <c r="F106" s="71"/>
      <c r="G106" s="71"/>
      <c r="H106" s="71"/>
      <c r="I106" s="96"/>
    </row>
    <row r="107" spans="1:39" x14ac:dyDescent="0.25">
      <c r="A107" s="73"/>
      <c r="B107" s="77"/>
      <c r="C107" s="82"/>
      <c r="D107" s="80"/>
      <c r="E107" s="83"/>
      <c r="G107" s="83"/>
      <c r="H107" s="85"/>
      <c r="I107" s="96"/>
    </row>
    <row r="108" spans="1:39" s="123" customFormat="1" x14ac:dyDescent="0.25">
      <c r="A108" s="118"/>
      <c r="B108" s="124"/>
      <c r="C108" s="125"/>
      <c r="D108" s="118"/>
      <c r="E108" s="118"/>
      <c r="F108" s="118"/>
      <c r="G108" s="118"/>
      <c r="H108" s="118"/>
      <c r="I108" s="118"/>
      <c r="J108" s="122"/>
      <c r="K108" s="122"/>
      <c r="L108" s="122"/>
      <c r="M108" s="122"/>
      <c r="N108" s="122"/>
      <c r="O108" s="122"/>
      <c r="P108" s="122"/>
      <c r="Q108" s="122"/>
      <c r="R108" s="122"/>
      <c r="S108" s="122"/>
      <c r="T108" s="122"/>
      <c r="U108" s="122"/>
      <c r="V108" s="122"/>
      <c r="W108" s="122"/>
      <c r="X108" s="122"/>
      <c r="Y108" s="122"/>
      <c r="Z108" s="122"/>
      <c r="AA108" s="122"/>
      <c r="AB108" s="122"/>
      <c r="AC108" s="122"/>
      <c r="AD108" s="122"/>
      <c r="AE108" s="122"/>
      <c r="AF108" s="122"/>
      <c r="AG108" s="122"/>
      <c r="AH108" s="122"/>
      <c r="AI108" s="122"/>
      <c r="AJ108" s="122"/>
      <c r="AK108" s="122"/>
      <c r="AL108" s="122"/>
      <c r="AM108" s="122"/>
    </row>
    <row r="109" spans="1:39" x14ac:dyDescent="0.25">
      <c r="A109" s="73"/>
      <c r="B109" s="72"/>
      <c r="C109" s="71" t="s">
        <v>99</v>
      </c>
      <c r="D109" s="73"/>
      <c r="E109" s="73"/>
      <c r="F109" s="73"/>
      <c r="G109" s="73"/>
      <c r="H109" s="73"/>
      <c r="I109" s="73"/>
    </row>
    <row r="110" spans="1:39" x14ac:dyDescent="0.25">
      <c r="A110" s="73"/>
      <c r="B110" s="72"/>
      <c r="C110" s="472"/>
      <c r="D110" s="475"/>
      <c r="E110" s="475"/>
      <c r="F110" s="475"/>
      <c r="G110" s="72"/>
      <c r="H110" s="83"/>
      <c r="I110" s="96"/>
    </row>
    <row r="111" spans="1:39" x14ac:dyDescent="0.25">
      <c r="A111" s="73"/>
      <c r="B111" s="73"/>
      <c r="C111" s="73"/>
      <c r="D111" s="73"/>
      <c r="E111" s="70"/>
      <c r="F111" s="73"/>
      <c r="G111" s="73"/>
      <c r="H111" s="84"/>
      <c r="I111" s="96"/>
    </row>
    <row r="112" spans="1:39" x14ac:dyDescent="0.25">
      <c r="A112" s="73"/>
      <c r="B112" s="73" t="s">
        <v>302</v>
      </c>
      <c r="C112" s="71"/>
      <c r="D112" s="72"/>
      <c r="E112" s="72"/>
      <c r="F112" s="72"/>
      <c r="G112" s="73"/>
      <c r="H112" s="84"/>
      <c r="I112" s="96"/>
    </row>
    <row r="113" spans="1:39" x14ac:dyDescent="0.25">
      <c r="A113" s="73"/>
      <c r="B113" s="73" t="s">
        <v>279</v>
      </c>
      <c r="C113" s="73"/>
      <c r="D113" s="73"/>
      <c r="E113" s="70"/>
      <c r="F113" s="73"/>
      <c r="G113" s="73"/>
      <c r="H113" s="84"/>
      <c r="I113" s="96"/>
    </row>
    <row r="114" spans="1:39" x14ac:dyDescent="0.25">
      <c r="A114" s="73"/>
      <c r="B114" s="118"/>
      <c r="C114" s="227"/>
      <c r="D114" s="123"/>
      <c r="E114" s="123"/>
      <c r="F114" s="123"/>
      <c r="G114" s="118"/>
      <c r="H114" s="84"/>
      <c r="I114" s="96"/>
    </row>
    <row r="115" spans="1:39" x14ac:dyDescent="0.25">
      <c r="A115" s="73"/>
      <c r="B115" s="118"/>
      <c r="C115" s="123"/>
      <c r="D115" s="123"/>
      <c r="E115" s="123"/>
      <c r="F115" s="123"/>
      <c r="G115" s="118"/>
      <c r="H115" s="73"/>
      <c r="I115" s="77"/>
    </row>
    <row r="116" spans="1:39" x14ac:dyDescent="0.25">
      <c r="A116" s="73"/>
      <c r="B116" s="118" t="s">
        <v>309</v>
      </c>
      <c r="C116" s="123"/>
      <c r="D116" s="123"/>
      <c r="E116" s="123"/>
      <c r="F116" s="123"/>
      <c r="G116" s="118"/>
      <c r="H116" s="73"/>
      <c r="I116" s="28"/>
    </row>
    <row r="117" spans="1:39" x14ac:dyDescent="0.25">
      <c r="A117" s="73"/>
      <c r="B117" s="118"/>
      <c r="C117" s="94"/>
      <c r="D117" s="123"/>
      <c r="E117" s="123"/>
      <c r="F117" s="123"/>
      <c r="G117" s="118"/>
      <c r="H117" s="73"/>
      <c r="I117" s="219"/>
    </row>
    <row r="118" spans="1:39" s="123" customFormat="1" x14ac:dyDescent="0.25">
      <c r="A118" s="118"/>
      <c r="B118" s="118"/>
      <c r="C118" s="125"/>
      <c r="G118" s="118"/>
      <c r="H118" s="118"/>
      <c r="I118" s="138"/>
      <c r="J118" s="122"/>
      <c r="K118" s="122"/>
      <c r="L118" s="122"/>
      <c r="M118" s="122"/>
      <c r="N118" s="122"/>
      <c r="O118" s="122"/>
      <c r="P118" s="122"/>
      <c r="Q118" s="122"/>
      <c r="R118" s="122"/>
      <c r="S118" s="122"/>
      <c r="T118" s="122"/>
      <c r="U118" s="122"/>
      <c r="V118" s="122"/>
      <c r="W118" s="122"/>
      <c r="X118" s="122"/>
      <c r="Y118" s="122"/>
      <c r="Z118" s="122"/>
      <c r="AA118" s="122"/>
      <c r="AB118" s="122"/>
      <c r="AC118" s="122"/>
      <c r="AD118" s="122"/>
      <c r="AE118" s="122"/>
      <c r="AF118" s="122"/>
      <c r="AG118" s="122"/>
      <c r="AH118" s="122"/>
      <c r="AI118" s="122"/>
      <c r="AJ118" s="122"/>
      <c r="AK118" s="122"/>
      <c r="AL118" s="122"/>
      <c r="AM118" s="122"/>
    </row>
    <row r="119" spans="1:39" x14ac:dyDescent="0.25">
      <c r="A119" s="73"/>
      <c r="B119" s="118" t="s">
        <v>280</v>
      </c>
      <c r="C119" s="123"/>
      <c r="D119" s="123"/>
      <c r="E119" s="123"/>
      <c r="F119" s="123"/>
      <c r="G119" s="118"/>
      <c r="H119" s="73"/>
    </row>
    <row r="120" spans="1:39" x14ac:dyDescent="0.25">
      <c r="A120" s="73"/>
      <c r="B120" s="118"/>
      <c r="C120" s="222"/>
      <c r="D120" s="123" t="s">
        <v>305</v>
      </c>
      <c r="E120" s="123"/>
      <c r="F120" s="123"/>
      <c r="G120" s="118"/>
      <c r="H120" s="70"/>
      <c r="I120" s="219"/>
    </row>
    <row r="121" spans="1:39" x14ac:dyDescent="0.25">
      <c r="A121" s="73"/>
      <c r="B121" s="118"/>
      <c r="C121" s="123"/>
      <c r="D121" s="123"/>
      <c r="E121" s="123"/>
      <c r="F121" s="123"/>
      <c r="G121" s="118"/>
      <c r="H121" s="70"/>
      <c r="I121" s="219"/>
    </row>
    <row r="122" spans="1:39" x14ac:dyDescent="0.25">
      <c r="A122" s="73"/>
      <c r="B122" s="118"/>
      <c r="C122" s="123"/>
      <c r="D122" s="123"/>
      <c r="E122" s="123"/>
      <c r="F122" s="123"/>
      <c r="G122" s="118"/>
      <c r="H122" s="70"/>
      <c r="I122" s="220"/>
    </row>
    <row r="123" spans="1:39" x14ac:dyDescent="0.25">
      <c r="A123" s="73"/>
      <c r="B123" s="119"/>
      <c r="C123" s="123"/>
      <c r="D123" s="123"/>
      <c r="E123" s="123"/>
      <c r="F123" s="123"/>
      <c r="G123" s="119"/>
      <c r="H123" s="71"/>
      <c r="I123" s="105"/>
    </row>
    <row r="124" spans="1:39" x14ac:dyDescent="0.25">
      <c r="A124" s="73"/>
      <c r="B124" s="72"/>
      <c r="C124" s="72"/>
      <c r="D124" s="72"/>
      <c r="E124" s="72"/>
      <c r="F124" s="72"/>
      <c r="G124" s="72"/>
      <c r="H124" s="71"/>
      <c r="I124" s="105"/>
    </row>
    <row r="125" spans="1:39" x14ac:dyDescent="0.25">
      <c r="A125" s="73"/>
      <c r="B125" s="72"/>
      <c r="C125" s="72"/>
      <c r="D125" s="72"/>
      <c r="E125" s="72"/>
      <c r="F125" s="72"/>
      <c r="G125" s="72"/>
      <c r="H125" s="71"/>
      <c r="I125" s="107"/>
    </row>
    <row r="126" spans="1:39" x14ac:dyDescent="0.25">
      <c r="A126" s="73"/>
      <c r="B126" s="72"/>
      <c r="C126" s="72"/>
      <c r="D126" s="72"/>
      <c r="E126" s="72"/>
      <c r="F126" s="72"/>
      <c r="G126" s="72"/>
      <c r="H126" s="71"/>
      <c r="I126" s="105"/>
    </row>
    <row r="127" spans="1:39" x14ac:dyDescent="0.25">
      <c r="A127" s="74"/>
      <c r="B127" s="134" t="s">
        <v>61</v>
      </c>
      <c r="C127" s="85"/>
      <c r="D127" s="85"/>
      <c r="E127" s="85"/>
      <c r="F127" s="85"/>
      <c r="G127" s="85"/>
      <c r="H127" s="83"/>
      <c r="I127" s="96"/>
    </row>
    <row r="128" spans="1:39" ht="75" customHeight="1" thickBot="1" x14ac:dyDescent="0.3">
      <c r="A128" s="132"/>
      <c r="B128" s="476"/>
      <c r="C128" s="477"/>
      <c r="D128" s="477"/>
      <c r="E128" s="477"/>
      <c r="F128" s="477"/>
      <c r="G128" s="477"/>
      <c r="H128" s="477"/>
      <c r="I128" s="106"/>
    </row>
    <row r="129" spans="1:9" ht="15.75" thickBot="1" x14ac:dyDescent="0.3">
      <c r="A129" s="98"/>
      <c r="B129" s="99"/>
      <c r="C129" s="99"/>
      <c r="D129" s="99"/>
      <c r="E129" s="99"/>
      <c r="F129" s="99"/>
      <c r="G129" s="100"/>
      <c r="H129" s="100"/>
      <c r="I129" s="109"/>
    </row>
    <row r="130" spans="1:9" ht="15" customHeight="1" x14ac:dyDescent="0.25">
      <c r="B130" s="469" t="s">
        <v>376</v>
      </c>
      <c r="C130" s="470"/>
      <c r="D130" s="470"/>
      <c r="E130" s="470"/>
      <c r="F130" s="470"/>
      <c r="G130" s="470"/>
      <c r="H130" s="470"/>
    </row>
    <row r="131" spans="1:9" ht="40.5" customHeight="1" x14ac:dyDescent="0.25">
      <c r="B131" s="471" t="s">
        <v>303</v>
      </c>
      <c r="C131" s="471"/>
      <c r="D131" s="471"/>
      <c r="E131" s="471"/>
      <c r="F131" s="471"/>
      <c r="G131" s="471"/>
      <c r="H131" s="471"/>
    </row>
    <row r="132" spans="1:9" x14ac:dyDescent="0.25">
      <c r="B132" s="103"/>
      <c r="C132" s="53"/>
      <c r="D132" s="53"/>
      <c r="E132" s="53"/>
      <c r="F132" s="53"/>
      <c r="G132" s="53"/>
      <c r="H132" s="53"/>
    </row>
  </sheetData>
  <sheetProtection password="AB5E" sheet="1" objects="1" scenarios="1"/>
  <mergeCells count="42">
    <mergeCell ref="B131:H131"/>
    <mergeCell ref="B84:C84"/>
    <mergeCell ref="C104:H104"/>
    <mergeCell ref="C110:F110"/>
    <mergeCell ref="B128:H128"/>
    <mergeCell ref="E37:G37"/>
    <mergeCell ref="E38:G38"/>
    <mergeCell ref="F76:G76"/>
    <mergeCell ref="B81:C81"/>
    <mergeCell ref="B130:H130"/>
    <mergeCell ref="E35:G35"/>
    <mergeCell ref="B37:C37"/>
    <mergeCell ref="B13:H13"/>
    <mergeCell ref="E71:G72"/>
    <mergeCell ref="C48:E48"/>
    <mergeCell ref="C49:E49"/>
    <mergeCell ref="B57:H57"/>
    <mergeCell ref="E23:G23"/>
    <mergeCell ref="E29:G29"/>
    <mergeCell ref="E40:G40"/>
    <mergeCell ref="B63:H63"/>
    <mergeCell ref="B60:H60"/>
    <mergeCell ref="E33:G33"/>
    <mergeCell ref="E25:G28"/>
    <mergeCell ref="H30:H32"/>
    <mergeCell ref="E36:G36"/>
    <mergeCell ref="B44:B45"/>
    <mergeCell ref="B6:C6"/>
    <mergeCell ref="B73:C73"/>
    <mergeCell ref="B75:C75"/>
    <mergeCell ref="F75:G75"/>
    <mergeCell ref="C45:D45"/>
    <mergeCell ref="B24:C24"/>
    <mergeCell ref="B29:C29"/>
    <mergeCell ref="E42:G42"/>
    <mergeCell ref="B30:C32"/>
    <mergeCell ref="B33:C33"/>
    <mergeCell ref="B38:C38"/>
    <mergeCell ref="B34:C34"/>
    <mergeCell ref="B36:C36"/>
    <mergeCell ref="E34:G34"/>
    <mergeCell ref="B35:C35"/>
  </mergeCells>
  <conditionalFormatting sqref="G48:G49">
    <cfRule type="expression" dxfId="47" priority="2">
      <formula>$K$48</formula>
    </cfRule>
  </conditionalFormatting>
  <dataValidations xWindow="430" yWindow="585" count="22">
    <dataValidation type="list" allowBlank="1" showInputMessage="1" showErrorMessage="1" sqref="C117:C118 H101 E95 E91 E97 E99 E101 H91 H93 H97 E93 H95 H33:H38" xr:uid="{00000000-0002-0000-0100-000000000000}">
      <formula1>"Yes,No"</formula1>
    </dataValidation>
    <dataValidation type="decimal" operator="greaterThanOrEqual" allowBlank="1" showInputMessage="1" showErrorMessage="1" sqref="H74" xr:uid="{00000000-0002-0000-0100-000001000000}">
      <formula1>0</formula1>
    </dataValidation>
    <dataValidation type="whole" allowBlank="1" showInputMessage="1" showErrorMessage="1" error="only numbers between 0 and 100 are accepted" sqref="C120" xr:uid="{00000000-0002-0000-0100-000002000000}">
      <formula1>0</formula1>
      <formula2>100</formula2>
    </dataValidation>
    <dataValidation type="list" allowBlank="1" showInputMessage="1" showErrorMessage="1" sqref="B84:C84" xr:uid="{00000000-0002-0000-0100-000003000000}">
      <formula1>Counter</formula1>
    </dataValidation>
    <dataValidation type="list" allowBlank="1" showInputMessage="1" showErrorMessage="1" sqref="B81:C82" xr:uid="{00000000-0002-0000-0100-000004000000}">
      <formula1>Stage</formula1>
    </dataValidation>
    <dataValidation type="list" allowBlank="1" showInputMessage="1" showErrorMessage="1" sqref="C45" xr:uid="{00000000-0002-0000-0100-000005000000}">
      <formula1>Software</formula1>
    </dataValidation>
    <dataValidation type="list" allowBlank="1" showInputMessage="1" showErrorMessage="1" sqref="C107:C108" xr:uid="{00000000-0002-0000-0100-000006000000}">
      <formula1>Effort_Recording</formula1>
    </dataValidation>
    <dataValidation type="list" allowBlank="1" showInputMessage="1" showErrorMessage="1" sqref="C71" xr:uid="{00000000-0002-0000-0100-000007000000}">
      <formula1>"IFPUG 4.3,IFPUG 4.2,IFPUG 4,NESMA,Other (Specify):"</formula1>
    </dataValidation>
    <dataValidation type="list" allowBlank="1" showInputMessage="1" showErrorMessage="1" sqref="B33:B38" xr:uid="{00000000-0002-0000-0100-000008000000}">
      <formula1>Primary_Technology</formula1>
    </dataValidation>
    <dataValidation type="list" allowBlank="1" showInputMessage="1" showErrorMessage="1" sqref="C21" xr:uid="{00000000-0002-0000-0100-000009000000}">
      <formula1>Project_Type</formula1>
    </dataValidation>
    <dataValidation type="list" allowBlank="1" showInputMessage="1" showErrorMessage="1" sqref="C26" xr:uid="{00000000-0002-0000-0100-00000A000000}">
      <formula1>"Agile, Waterfall, Other"</formula1>
    </dataValidation>
    <dataValidation type="list" allowBlank="1" showInputMessage="1" showErrorMessage="1" sqref="C40" xr:uid="{00000000-0002-0000-0100-00000B000000}">
      <formula1>Industry</formula1>
    </dataValidation>
    <dataValidation type="list" allowBlank="1" showInputMessage="1" showErrorMessage="1" sqref="C42" xr:uid="{00000000-0002-0000-0100-00000C000000}">
      <formula1>Architecture</formula1>
    </dataValidation>
    <dataValidation allowBlank="1" showInputMessage="1" showErrorMessage="1" prompt="Programming Language: primary language/tool used to create the source code/objects. " sqref="B30" xr:uid="{00000000-0002-0000-0100-00000D000000}"/>
    <dataValidation type="date" operator="greaterThan" allowBlank="1" showInputMessage="1" showErrorMessage="1" error="Not a valid date" sqref="G21" xr:uid="{00000000-0002-0000-0100-00000E000000}">
      <formula1>1</formula1>
    </dataValidation>
    <dataValidation type="whole" operator="greaterThanOrEqual" allowBlank="1" showInputMessage="1" showErrorMessage="1" sqref="H72" xr:uid="{00000000-0002-0000-0100-00000F000000}">
      <formula1>0</formula1>
    </dataValidation>
    <dataValidation type="decimal" allowBlank="1" showInputMessage="1" showErrorMessage="1" error="VAF should be between 0.65 and 1.35" sqref="H73" xr:uid="{00000000-0002-0000-0100-000010000000}">
      <formula1>0.65</formula1>
      <formula2>1.35</formula2>
    </dataValidation>
    <dataValidation type="decimal" operator="greaterThanOrEqual" allowBlank="1" showInputMessage="1" showErrorMessage="1" error="invalid duration" sqref="G24" xr:uid="{00000000-0002-0000-0100-000011000000}">
      <formula1>0</formula1>
    </dataValidation>
    <dataValidation type="custom" allowBlank="1" showInputMessage="1" showErrorMessage="1" error="Individual % should be between 0 and 100. Sum of both % should be &lt;=100" sqref="G48" xr:uid="{00000000-0002-0000-0100-000012000000}">
      <formula1>G46</formula1>
    </dataValidation>
    <dataValidation type="decimal" operator="greaterThanOrEqual" allowBlank="1" showInputMessage="1" showErrorMessage="1" error="only postive numbers are valid" sqref="B78" xr:uid="{00000000-0002-0000-0100-000013000000}">
      <formula1>0</formula1>
    </dataValidation>
    <dataValidation type="decimal" operator="greaterThanOrEqual" allowBlank="1" showInputMessage="1" showErrorMessage="1" error="only positive numbers are accepted" sqref="C114" xr:uid="{00000000-0002-0000-0100-000014000000}">
      <formula1>0</formula1>
    </dataValidation>
    <dataValidation type="custom" allowBlank="1" showInputMessage="1" showErrorMessage="1" error="Individual % should be between 0 and 100. Sum of both % should be &lt;=100" sqref="G49" xr:uid="{00000000-0002-0000-0100-000015000000}">
      <formula1>G46</formula1>
    </dataValidation>
  </dataValidations>
  <pageMargins left="0.7" right="0.7" top="0.75" bottom="0.75" header="0.3" footer="0.3"/>
  <pageSetup scale="80" orientation="portrait" r:id="rId1"/>
  <headerFooter>
    <oddFooter>&amp;LLevel 1 – Confidential</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pageSetUpPr autoPageBreaks="0"/>
  </sheetPr>
  <dimension ref="A1:BS89"/>
  <sheetViews>
    <sheetView zoomScale="75" zoomScaleNormal="75" workbookViewId="0">
      <pane xSplit="3" ySplit="7" topLeftCell="D8" activePane="bottomRight" state="frozen"/>
      <selection pane="topRight" activeCell="D1" sqref="D1"/>
      <selection pane="bottomLeft" activeCell="A8" sqref="A8"/>
      <selection pane="bottomRight" activeCell="D18" sqref="D18"/>
    </sheetView>
  </sheetViews>
  <sheetFormatPr defaultRowHeight="15" x14ac:dyDescent="0.25"/>
  <cols>
    <col min="1" max="1" width="5.28515625" customWidth="1"/>
    <col min="2" max="2" width="11.140625" style="1" customWidth="1"/>
    <col min="3" max="3" width="39.85546875" customWidth="1"/>
    <col min="4" max="4" width="13.140625" customWidth="1"/>
    <col min="5" max="5" width="13.5703125" style="1" customWidth="1"/>
    <col min="6" max="6" width="12.7109375" customWidth="1"/>
    <col min="7" max="7" width="7.7109375" style="68" customWidth="1"/>
    <col min="8" max="8" width="12.85546875" customWidth="1"/>
    <col min="9" max="9" width="10.7109375" customWidth="1"/>
    <col min="10" max="10" width="10.85546875" customWidth="1"/>
    <col min="11" max="11" width="11.7109375" style="1" customWidth="1"/>
    <col min="12" max="12" width="7.42578125" style="68" customWidth="1"/>
    <col min="13" max="13" width="16.7109375" customWidth="1"/>
    <col min="14" max="14" width="12.7109375" customWidth="1"/>
    <col min="15" max="15" width="9.140625" style="68" customWidth="1"/>
    <col min="16" max="16" width="11.7109375" customWidth="1"/>
    <col min="17" max="17" width="11.5703125" style="1" customWidth="1"/>
    <col min="18" max="18" width="13.28515625" customWidth="1"/>
    <col min="19" max="19" width="8.28515625" style="68" customWidth="1"/>
    <col min="20" max="20" width="11.28515625" style="68" customWidth="1"/>
    <col min="21" max="21" width="11" customWidth="1"/>
    <col min="22" max="22" width="12.28515625" customWidth="1"/>
    <col min="23" max="23" width="9.140625" style="68" customWidth="1"/>
    <col min="24" max="24" width="14.140625" customWidth="1"/>
    <col min="25" max="25" width="18.5703125" style="1" customWidth="1"/>
    <col min="26" max="26" width="13.140625" customWidth="1"/>
    <col min="27" max="27" width="11.85546875" customWidth="1"/>
    <col min="28" max="28" width="9.140625" style="68" customWidth="1"/>
    <col min="29" max="29" width="17.7109375" customWidth="1"/>
    <col min="30" max="30" width="14" customWidth="1"/>
    <col min="31" max="31" width="9.140625" style="68" customWidth="1"/>
    <col min="32" max="32" width="13.7109375" customWidth="1"/>
    <col min="33" max="33" width="11.7109375" customWidth="1"/>
    <col min="34" max="34" width="10.5703125" style="1" customWidth="1"/>
    <col min="35" max="35" width="6.5703125" style="68" customWidth="1"/>
    <col min="36" max="36" width="10.42578125" customWidth="1"/>
    <col min="37" max="37" width="11.85546875" customWidth="1"/>
    <col min="38" max="38" width="8.85546875" style="1" customWidth="1"/>
    <col min="39" max="39" width="9.140625" style="68" customWidth="1"/>
    <col min="40" max="40" width="12" customWidth="1"/>
    <col min="41" max="41" width="17.28515625" style="1" customWidth="1"/>
    <col min="42" max="42" width="11.5703125" customWidth="1"/>
    <col min="43" max="43" width="15.85546875" customWidth="1"/>
    <col min="44" max="44" width="9.140625" style="68" customWidth="1"/>
    <col min="45" max="46" width="8.85546875" style="68" customWidth="1"/>
    <col min="47" max="47" width="12.28515625" customWidth="1"/>
    <col min="48" max="48" width="11.42578125" customWidth="1"/>
    <col min="49" max="49" width="6.5703125" style="68" customWidth="1"/>
    <col min="50" max="50" width="8.85546875" style="68" customWidth="1"/>
    <col min="51" max="51" width="14.7109375" customWidth="1"/>
    <col min="52" max="52" width="8.7109375" customWidth="1"/>
    <col min="53" max="53" width="7" style="68" customWidth="1"/>
    <col min="54" max="54" width="13.42578125" customWidth="1"/>
    <col min="55" max="55" width="15.28515625" customWidth="1"/>
    <col min="56" max="56" width="15.7109375" customWidth="1"/>
    <col min="57" max="57" width="7.28515625" style="68" customWidth="1"/>
    <col min="58" max="58" width="8.85546875" style="68" customWidth="1"/>
    <col min="59" max="59" width="11.42578125" style="54" customWidth="1"/>
    <col min="60" max="60" width="13.140625" style="54" customWidth="1"/>
    <col min="61" max="61" width="11.28515625" style="54" customWidth="1"/>
    <col min="62" max="62" width="7.7109375" style="68" customWidth="1"/>
    <col min="63" max="63" width="13.7109375" customWidth="1"/>
    <col min="64" max="64" width="80.5703125" style="259" customWidth="1"/>
    <col min="66" max="67" width="0" hidden="1" customWidth="1"/>
  </cols>
  <sheetData>
    <row r="1" spans="1:71" s="1" customFormat="1" x14ac:dyDescent="0.25">
      <c r="A1" s="62" t="s">
        <v>216</v>
      </c>
      <c r="B1" s="62"/>
      <c r="G1" s="68"/>
      <c r="L1" s="68"/>
      <c r="O1" s="68"/>
      <c r="S1" s="68"/>
      <c r="T1" s="68"/>
      <c r="W1" s="68"/>
      <c r="AB1" s="68"/>
      <c r="AC1" s="68"/>
      <c r="AD1" s="68"/>
      <c r="AE1" s="68"/>
      <c r="AI1" s="68"/>
      <c r="AM1" s="68"/>
      <c r="AS1" s="68"/>
      <c r="AT1" s="68"/>
      <c r="AW1" s="68"/>
      <c r="AX1" s="68"/>
      <c r="BA1" s="68"/>
      <c r="BE1" s="68"/>
      <c r="BF1" s="68"/>
      <c r="BG1" s="54"/>
      <c r="BH1" s="54"/>
      <c r="BI1" s="54"/>
      <c r="BJ1" s="68"/>
      <c r="BL1" s="259"/>
    </row>
    <row r="2" spans="1:71" s="112" customFormat="1" ht="15.75" thickBot="1" x14ac:dyDescent="0.3">
      <c r="D2" s="281">
        <f>COLUMN()-2</f>
        <v>2</v>
      </c>
      <c r="E2" s="281">
        <f t="shared" ref="E2:BL2" si="0">COLUMN()-2</f>
        <v>3</v>
      </c>
      <c r="F2" s="281">
        <f t="shared" si="0"/>
        <v>4</v>
      </c>
      <c r="G2" s="281">
        <f t="shared" si="0"/>
        <v>5</v>
      </c>
      <c r="H2" s="281">
        <f t="shared" si="0"/>
        <v>6</v>
      </c>
      <c r="I2" s="281">
        <f t="shared" si="0"/>
        <v>7</v>
      </c>
      <c r="J2" s="281">
        <f t="shared" si="0"/>
        <v>8</v>
      </c>
      <c r="K2" s="281">
        <f t="shared" si="0"/>
        <v>9</v>
      </c>
      <c r="L2" s="281">
        <f t="shared" si="0"/>
        <v>10</v>
      </c>
      <c r="M2" s="281">
        <f t="shared" si="0"/>
        <v>11</v>
      </c>
      <c r="N2" s="281">
        <f t="shared" si="0"/>
        <v>12</v>
      </c>
      <c r="O2" s="281">
        <f t="shared" si="0"/>
        <v>13</v>
      </c>
      <c r="P2" s="281">
        <f t="shared" si="0"/>
        <v>14</v>
      </c>
      <c r="Q2" s="281">
        <f t="shared" si="0"/>
        <v>15</v>
      </c>
      <c r="R2" s="281">
        <f t="shared" si="0"/>
        <v>16</v>
      </c>
      <c r="S2" s="281">
        <f t="shared" si="0"/>
        <v>17</v>
      </c>
      <c r="T2" s="281">
        <f t="shared" si="0"/>
        <v>18</v>
      </c>
      <c r="U2" s="281">
        <f t="shared" si="0"/>
        <v>19</v>
      </c>
      <c r="V2" s="281">
        <f t="shared" si="0"/>
        <v>20</v>
      </c>
      <c r="W2" s="281">
        <f t="shared" si="0"/>
        <v>21</v>
      </c>
      <c r="X2" s="281">
        <f t="shared" si="0"/>
        <v>22</v>
      </c>
      <c r="Y2" s="281">
        <f t="shared" si="0"/>
        <v>23</v>
      </c>
      <c r="Z2" s="281">
        <f t="shared" si="0"/>
        <v>24</v>
      </c>
      <c r="AA2" s="281">
        <f t="shared" si="0"/>
        <v>25</v>
      </c>
      <c r="AB2" s="281">
        <f t="shared" si="0"/>
        <v>26</v>
      </c>
      <c r="AC2" s="281">
        <f t="shared" si="0"/>
        <v>27</v>
      </c>
      <c r="AD2" s="281">
        <f t="shared" si="0"/>
        <v>28</v>
      </c>
      <c r="AE2" s="281">
        <f t="shared" si="0"/>
        <v>29</v>
      </c>
      <c r="AF2" s="281">
        <f t="shared" si="0"/>
        <v>30</v>
      </c>
      <c r="AG2" s="281">
        <f t="shared" si="0"/>
        <v>31</v>
      </c>
      <c r="AH2" s="281">
        <f t="shared" si="0"/>
        <v>32</v>
      </c>
      <c r="AI2" s="281">
        <f t="shared" si="0"/>
        <v>33</v>
      </c>
      <c r="AJ2" s="281">
        <f t="shared" si="0"/>
        <v>34</v>
      </c>
      <c r="AK2" s="281">
        <f t="shared" si="0"/>
        <v>35</v>
      </c>
      <c r="AL2" s="281">
        <f t="shared" si="0"/>
        <v>36</v>
      </c>
      <c r="AM2" s="281">
        <f t="shared" si="0"/>
        <v>37</v>
      </c>
      <c r="AN2" s="281">
        <f t="shared" si="0"/>
        <v>38</v>
      </c>
      <c r="AO2" s="317">
        <f t="shared" si="0"/>
        <v>39</v>
      </c>
      <c r="AP2" s="317">
        <f t="shared" si="0"/>
        <v>40</v>
      </c>
      <c r="AQ2" s="281">
        <f t="shared" si="0"/>
        <v>41</v>
      </c>
      <c r="AR2" s="112">
        <f t="shared" si="0"/>
        <v>42</v>
      </c>
      <c r="AS2" s="112">
        <f t="shared" si="0"/>
        <v>43</v>
      </c>
      <c r="AT2" s="112">
        <f t="shared" si="0"/>
        <v>44</v>
      </c>
      <c r="AU2" s="281">
        <f t="shared" si="0"/>
        <v>45</v>
      </c>
      <c r="AV2" s="281">
        <f t="shared" si="0"/>
        <v>46</v>
      </c>
      <c r="AW2" s="281">
        <f t="shared" si="0"/>
        <v>47</v>
      </c>
      <c r="AX2" s="281">
        <f t="shared" si="0"/>
        <v>48</v>
      </c>
      <c r="AY2" s="281">
        <f t="shared" si="0"/>
        <v>49</v>
      </c>
      <c r="AZ2" s="281">
        <f t="shared" si="0"/>
        <v>50</v>
      </c>
      <c r="BA2" s="281">
        <f t="shared" si="0"/>
        <v>51</v>
      </c>
      <c r="BB2" s="281">
        <f t="shared" si="0"/>
        <v>52</v>
      </c>
      <c r="BC2" s="281">
        <f t="shared" si="0"/>
        <v>53</v>
      </c>
      <c r="BD2" s="281">
        <f t="shared" si="0"/>
        <v>54</v>
      </c>
      <c r="BE2" s="281">
        <f t="shared" si="0"/>
        <v>55</v>
      </c>
      <c r="BF2" s="281">
        <f t="shared" si="0"/>
        <v>56</v>
      </c>
      <c r="BG2" s="281">
        <f t="shared" si="0"/>
        <v>57</v>
      </c>
      <c r="BH2" s="281">
        <f t="shared" si="0"/>
        <v>58</v>
      </c>
      <c r="BI2" s="281">
        <f t="shared" si="0"/>
        <v>59</v>
      </c>
      <c r="BJ2" s="281">
        <f t="shared" si="0"/>
        <v>60</v>
      </c>
      <c r="BK2" s="281">
        <f t="shared" si="0"/>
        <v>61</v>
      </c>
      <c r="BL2" s="260">
        <f t="shared" si="0"/>
        <v>62</v>
      </c>
    </row>
    <row r="3" spans="1:71" s="62" customFormat="1" ht="14.25" customHeight="1" thickBot="1" x14ac:dyDescent="0.3">
      <c r="D3" s="538" t="s">
        <v>215</v>
      </c>
      <c r="E3" s="539"/>
      <c r="F3" s="539"/>
      <c r="G3" s="539"/>
      <c r="H3" s="539"/>
      <c r="I3" s="539"/>
      <c r="J3" s="539"/>
      <c r="K3" s="539"/>
      <c r="L3" s="539"/>
      <c r="M3" s="539"/>
      <c r="N3" s="539"/>
      <c r="O3" s="539"/>
      <c r="P3" s="539"/>
      <c r="Q3" s="539"/>
      <c r="R3" s="539"/>
      <c r="S3" s="539"/>
      <c r="T3" s="539"/>
      <c r="U3" s="539"/>
      <c r="V3" s="539"/>
      <c r="W3" s="539"/>
      <c r="X3" s="540"/>
      <c r="Y3" s="513" t="s">
        <v>214</v>
      </c>
      <c r="Z3" s="514"/>
      <c r="AA3" s="514"/>
      <c r="AB3" s="514"/>
      <c r="AC3" s="514"/>
      <c r="AD3" s="514"/>
      <c r="AE3" s="514"/>
      <c r="AF3" s="514"/>
      <c r="AG3" s="514"/>
      <c r="AH3" s="514"/>
      <c r="AI3" s="515"/>
      <c r="AJ3" s="514"/>
      <c r="AK3" s="514"/>
      <c r="AL3" s="514"/>
      <c r="AM3" s="313"/>
      <c r="AN3" s="314"/>
      <c r="AO3" s="507" t="s">
        <v>213</v>
      </c>
      <c r="AP3" s="508"/>
      <c r="AQ3" s="508"/>
      <c r="AR3" s="508"/>
      <c r="AS3" s="508"/>
      <c r="AT3" s="508"/>
      <c r="AU3" s="508"/>
      <c r="AV3" s="508"/>
      <c r="AW3" s="508"/>
      <c r="AX3" s="508"/>
      <c r="AY3" s="508"/>
      <c r="AZ3" s="508"/>
      <c r="BA3" s="508"/>
      <c r="BB3" s="509"/>
      <c r="BC3" s="531" t="s">
        <v>212</v>
      </c>
      <c r="BD3" s="532"/>
      <c r="BE3" s="532"/>
      <c r="BF3" s="532"/>
      <c r="BG3" s="532"/>
      <c r="BH3" s="532"/>
      <c r="BI3" s="532"/>
      <c r="BJ3" s="532"/>
      <c r="BK3" s="533"/>
      <c r="BL3" s="345"/>
      <c r="BM3" s="63"/>
      <c r="BN3" s="63"/>
      <c r="BO3" s="63"/>
      <c r="BP3" s="63"/>
      <c r="BQ3" s="63"/>
    </row>
    <row r="4" spans="1:71" s="1" customFormat="1" ht="35.25" customHeight="1" x14ac:dyDescent="0.35">
      <c r="A4" s="522" t="s">
        <v>9</v>
      </c>
      <c r="B4" s="244"/>
      <c r="C4" s="381" t="s">
        <v>377</v>
      </c>
      <c r="D4" s="523" t="s">
        <v>197</v>
      </c>
      <c r="E4" s="524"/>
      <c r="F4" s="525"/>
      <c r="G4" s="510" t="s">
        <v>174</v>
      </c>
      <c r="H4" s="493" t="s">
        <v>198</v>
      </c>
      <c r="I4" s="494"/>
      <c r="J4" s="494"/>
      <c r="K4" s="495"/>
      <c r="L4" s="510" t="s">
        <v>175</v>
      </c>
      <c r="M4" s="493" t="s">
        <v>199</v>
      </c>
      <c r="N4" s="494"/>
      <c r="O4" s="510" t="s">
        <v>176</v>
      </c>
      <c r="P4" s="493" t="s">
        <v>200</v>
      </c>
      <c r="Q4" s="494"/>
      <c r="R4" s="495"/>
      <c r="S4" s="510" t="s">
        <v>177</v>
      </c>
      <c r="T4" s="493" t="s">
        <v>203</v>
      </c>
      <c r="U4" s="494"/>
      <c r="V4" s="495"/>
      <c r="W4" s="510" t="s">
        <v>178</v>
      </c>
      <c r="X4" s="499" t="s">
        <v>218</v>
      </c>
      <c r="Y4" s="493" t="s">
        <v>204</v>
      </c>
      <c r="Z4" s="494"/>
      <c r="AA4" s="495"/>
      <c r="AB4" s="510" t="s">
        <v>179</v>
      </c>
      <c r="AC4" s="541" t="s">
        <v>206</v>
      </c>
      <c r="AD4" s="542"/>
      <c r="AE4" s="510" t="s">
        <v>180</v>
      </c>
      <c r="AF4" s="493" t="s">
        <v>207</v>
      </c>
      <c r="AG4" s="494"/>
      <c r="AH4" s="494"/>
      <c r="AI4" s="510" t="s">
        <v>181</v>
      </c>
      <c r="AJ4" s="493" t="s">
        <v>208</v>
      </c>
      <c r="AK4" s="494"/>
      <c r="AL4" s="495"/>
      <c r="AM4" s="510" t="s">
        <v>187</v>
      </c>
      <c r="AN4" s="534" t="s">
        <v>219</v>
      </c>
      <c r="AO4" s="493" t="s">
        <v>209</v>
      </c>
      <c r="AP4" s="494"/>
      <c r="AQ4" s="495"/>
      <c r="AR4" s="510" t="s">
        <v>186</v>
      </c>
      <c r="AS4" s="493" t="s">
        <v>210</v>
      </c>
      <c r="AT4" s="494"/>
      <c r="AU4" s="494"/>
      <c r="AV4" s="494"/>
      <c r="AW4" s="510" t="s">
        <v>185</v>
      </c>
      <c r="AX4" s="493" t="s">
        <v>259</v>
      </c>
      <c r="AY4" s="494"/>
      <c r="AZ4" s="495"/>
      <c r="BA4" s="510" t="s">
        <v>261</v>
      </c>
      <c r="BB4" s="534" t="s">
        <v>220</v>
      </c>
      <c r="BC4" s="493" t="s">
        <v>352</v>
      </c>
      <c r="BD4" s="494"/>
      <c r="BE4" s="510" t="s">
        <v>189</v>
      </c>
      <c r="BF4" s="493" t="s">
        <v>353</v>
      </c>
      <c r="BG4" s="494"/>
      <c r="BH4" s="494"/>
      <c r="BI4" s="495"/>
      <c r="BJ4" s="510" t="s">
        <v>262</v>
      </c>
      <c r="BK4" s="499" t="s">
        <v>221</v>
      </c>
      <c r="BL4" s="485" t="s">
        <v>267</v>
      </c>
      <c r="BM4" s="54"/>
      <c r="BN4" s="54"/>
      <c r="BO4" s="54"/>
      <c r="BP4" s="54"/>
      <c r="BQ4" s="54"/>
    </row>
    <row r="5" spans="1:71" s="1" customFormat="1" ht="35.25" customHeight="1" x14ac:dyDescent="0.35">
      <c r="A5" s="520"/>
      <c r="B5" s="245"/>
      <c r="C5" s="114" t="s">
        <v>378</v>
      </c>
      <c r="D5" s="526" t="s">
        <v>58</v>
      </c>
      <c r="E5" s="527"/>
      <c r="F5" s="528"/>
      <c r="G5" s="511"/>
      <c r="H5" s="496" t="s">
        <v>58</v>
      </c>
      <c r="I5" s="497"/>
      <c r="J5" s="497"/>
      <c r="K5" s="498"/>
      <c r="L5" s="511"/>
      <c r="M5" s="496" t="s">
        <v>58</v>
      </c>
      <c r="N5" s="498"/>
      <c r="O5" s="511"/>
      <c r="P5" s="496" t="s">
        <v>58</v>
      </c>
      <c r="Q5" s="497"/>
      <c r="R5" s="498"/>
      <c r="S5" s="511"/>
      <c r="T5" s="496" t="s">
        <v>58</v>
      </c>
      <c r="U5" s="497"/>
      <c r="V5" s="498"/>
      <c r="W5" s="511"/>
      <c r="X5" s="500"/>
      <c r="Y5" s="496" t="s">
        <v>59</v>
      </c>
      <c r="Z5" s="497"/>
      <c r="AA5" s="498"/>
      <c r="AB5" s="511"/>
      <c r="AC5" s="496" t="s">
        <v>256</v>
      </c>
      <c r="AD5" s="498"/>
      <c r="AE5" s="511"/>
      <c r="AF5" s="496" t="s">
        <v>58</v>
      </c>
      <c r="AG5" s="497"/>
      <c r="AH5" s="498"/>
      <c r="AI5" s="511"/>
      <c r="AJ5" s="496" t="s">
        <v>58</v>
      </c>
      <c r="AK5" s="497"/>
      <c r="AL5" s="498"/>
      <c r="AM5" s="511"/>
      <c r="AN5" s="535"/>
      <c r="AO5" s="496" t="s">
        <v>58</v>
      </c>
      <c r="AP5" s="497"/>
      <c r="AQ5" s="498"/>
      <c r="AR5" s="511"/>
      <c r="AS5" s="496" t="s">
        <v>58</v>
      </c>
      <c r="AT5" s="497"/>
      <c r="AU5" s="497"/>
      <c r="AV5" s="498"/>
      <c r="AW5" s="511"/>
      <c r="AX5" s="496" t="s">
        <v>260</v>
      </c>
      <c r="AY5" s="497"/>
      <c r="AZ5" s="498"/>
      <c r="BA5" s="511"/>
      <c r="BB5" s="535"/>
      <c r="BC5" s="496" t="s">
        <v>58</v>
      </c>
      <c r="BD5" s="498"/>
      <c r="BE5" s="511"/>
      <c r="BF5" s="496" t="s">
        <v>150</v>
      </c>
      <c r="BG5" s="497"/>
      <c r="BH5" s="497"/>
      <c r="BI5" s="498"/>
      <c r="BJ5" s="511"/>
      <c r="BK5" s="500"/>
      <c r="BL5" s="485"/>
      <c r="BM5" s="343"/>
      <c r="BN5" s="54"/>
      <c r="BO5" s="54"/>
      <c r="BP5" s="54"/>
      <c r="BQ5" s="54"/>
    </row>
    <row r="6" spans="1:71" s="2" customFormat="1" ht="66.599999999999994" customHeight="1" x14ac:dyDescent="0.25">
      <c r="A6" s="520"/>
      <c r="B6" s="520" t="s">
        <v>315</v>
      </c>
      <c r="C6" s="518" t="s">
        <v>333</v>
      </c>
      <c r="D6" s="487" t="s">
        <v>243</v>
      </c>
      <c r="E6" s="516" t="s">
        <v>255</v>
      </c>
      <c r="F6" s="489" t="s">
        <v>202</v>
      </c>
      <c r="G6" s="511"/>
      <c r="H6" s="543" t="s">
        <v>287</v>
      </c>
      <c r="I6" s="529" t="s">
        <v>202</v>
      </c>
      <c r="J6" s="545" t="s">
        <v>268</v>
      </c>
      <c r="K6" s="516" t="s">
        <v>255</v>
      </c>
      <c r="L6" s="511"/>
      <c r="M6" s="487" t="s">
        <v>249</v>
      </c>
      <c r="N6" s="489" t="s">
        <v>202</v>
      </c>
      <c r="O6" s="511"/>
      <c r="P6" s="487" t="s">
        <v>254</v>
      </c>
      <c r="Q6" s="516" t="s">
        <v>255</v>
      </c>
      <c r="R6" s="489" t="s">
        <v>202</v>
      </c>
      <c r="S6" s="511"/>
      <c r="T6" s="487" t="s">
        <v>288</v>
      </c>
      <c r="U6" s="516" t="s">
        <v>255</v>
      </c>
      <c r="V6" s="489" t="s">
        <v>266</v>
      </c>
      <c r="W6" s="511"/>
      <c r="X6" s="501"/>
      <c r="Y6" s="487" t="s">
        <v>289</v>
      </c>
      <c r="Z6" s="516" t="s">
        <v>255</v>
      </c>
      <c r="AA6" s="489" t="s">
        <v>205</v>
      </c>
      <c r="AB6" s="511"/>
      <c r="AC6" s="487" t="s">
        <v>375</v>
      </c>
      <c r="AD6" s="489" t="s">
        <v>290</v>
      </c>
      <c r="AE6" s="511"/>
      <c r="AF6" s="487" t="s">
        <v>202</v>
      </c>
      <c r="AG6" s="516" t="s">
        <v>255</v>
      </c>
      <c r="AH6" s="489" t="s">
        <v>291</v>
      </c>
      <c r="AI6" s="511"/>
      <c r="AJ6" s="487" t="s">
        <v>202</v>
      </c>
      <c r="AK6" s="516" t="s">
        <v>255</v>
      </c>
      <c r="AL6" s="489" t="s">
        <v>292</v>
      </c>
      <c r="AM6" s="511"/>
      <c r="AN6" s="547"/>
      <c r="AO6" s="487" t="s">
        <v>293</v>
      </c>
      <c r="AP6" s="491" t="s">
        <v>294</v>
      </c>
      <c r="AQ6" s="489" t="s">
        <v>295</v>
      </c>
      <c r="AR6" s="511"/>
      <c r="AS6" s="487" t="s">
        <v>202</v>
      </c>
      <c r="AT6" s="491" t="s">
        <v>248</v>
      </c>
      <c r="AU6" s="516" t="s">
        <v>255</v>
      </c>
      <c r="AV6" s="489" t="s">
        <v>211</v>
      </c>
      <c r="AW6" s="511"/>
      <c r="AX6" s="487" t="s">
        <v>254</v>
      </c>
      <c r="AY6" s="516" t="s">
        <v>201</v>
      </c>
      <c r="AZ6" s="489" t="s">
        <v>202</v>
      </c>
      <c r="BA6" s="511"/>
      <c r="BB6" s="536"/>
      <c r="BC6" s="487" t="s">
        <v>296</v>
      </c>
      <c r="BD6" s="489" t="s">
        <v>297</v>
      </c>
      <c r="BE6" s="511"/>
      <c r="BF6" s="487" t="s">
        <v>202</v>
      </c>
      <c r="BG6" s="491" t="s">
        <v>255</v>
      </c>
      <c r="BH6" s="491" t="s">
        <v>298</v>
      </c>
      <c r="BI6" s="489" t="s">
        <v>299</v>
      </c>
      <c r="BJ6" s="511"/>
      <c r="BK6" s="501"/>
      <c r="BL6" s="485"/>
      <c r="BM6" s="340"/>
      <c r="BN6" s="55"/>
      <c r="BO6" s="55"/>
      <c r="BP6" s="55"/>
      <c r="BQ6" s="55"/>
    </row>
    <row r="7" spans="1:71" s="2" customFormat="1" ht="50.45" customHeight="1" thickBot="1" x14ac:dyDescent="0.3">
      <c r="A7" s="521"/>
      <c r="B7" s="521"/>
      <c r="C7" s="519"/>
      <c r="D7" s="488"/>
      <c r="E7" s="517"/>
      <c r="F7" s="490"/>
      <c r="G7" s="512"/>
      <c r="H7" s="544"/>
      <c r="I7" s="530"/>
      <c r="J7" s="546"/>
      <c r="K7" s="517"/>
      <c r="L7" s="512"/>
      <c r="M7" s="488"/>
      <c r="N7" s="490"/>
      <c r="O7" s="512"/>
      <c r="P7" s="488"/>
      <c r="Q7" s="517"/>
      <c r="R7" s="490"/>
      <c r="S7" s="512"/>
      <c r="T7" s="488"/>
      <c r="U7" s="517"/>
      <c r="V7" s="490"/>
      <c r="W7" s="512"/>
      <c r="X7" s="502"/>
      <c r="Y7" s="488"/>
      <c r="Z7" s="517"/>
      <c r="AA7" s="490"/>
      <c r="AB7" s="512"/>
      <c r="AC7" s="488"/>
      <c r="AD7" s="490"/>
      <c r="AE7" s="512"/>
      <c r="AF7" s="488"/>
      <c r="AG7" s="517"/>
      <c r="AH7" s="490"/>
      <c r="AI7" s="512"/>
      <c r="AJ7" s="488"/>
      <c r="AK7" s="517"/>
      <c r="AL7" s="490"/>
      <c r="AM7" s="512"/>
      <c r="AN7" s="548"/>
      <c r="AO7" s="488"/>
      <c r="AP7" s="492"/>
      <c r="AQ7" s="490"/>
      <c r="AR7" s="512"/>
      <c r="AS7" s="488"/>
      <c r="AT7" s="492"/>
      <c r="AU7" s="517"/>
      <c r="AV7" s="490"/>
      <c r="AW7" s="512"/>
      <c r="AX7" s="488"/>
      <c r="AY7" s="517"/>
      <c r="AZ7" s="490"/>
      <c r="BA7" s="512"/>
      <c r="BB7" s="537"/>
      <c r="BC7" s="488"/>
      <c r="BD7" s="490"/>
      <c r="BE7" s="512"/>
      <c r="BF7" s="488"/>
      <c r="BG7" s="492"/>
      <c r="BH7" s="492"/>
      <c r="BI7" s="490"/>
      <c r="BJ7" s="512"/>
      <c r="BK7" s="502"/>
      <c r="BL7" s="486"/>
      <c r="BM7" s="344"/>
      <c r="BN7" s="55"/>
      <c r="BO7" s="55"/>
      <c r="BP7" s="55"/>
      <c r="BQ7" s="55"/>
    </row>
    <row r="8" spans="1:71" s="58" customFormat="1" ht="16.149999999999999" customHeight="1" x14ac:dyDescent="0.25">
      <c r="A8" s="223">
        <f>ROW()-7</f>
        <v>1</v>
      </c>
      <c r="B8" s="258" t="s">
        <v>316</v>
      </c>
      <c r="C8" s="346" t="s">
        <v>281</v>
      </c>
      <c r="D8" s="276" t="s">
        <v>337</v>
      </c>
      <c r="E8" s="363" t="str">
        <f>IF(D8="","",(IF(D8="1 to 2","Low",IF(D8="3 to 5","Average","High"))))</f>
        <v>Average</v>
      </c>
      <c r="F8" s="277">
        <v>4</v>
      </c>
      <c r="G8" s="366">
        <f>IF(OR(E8="",NOT(ISNUMBER(F8))),"",IF(E8="Low",F8*2,IF(E8="Average",F8*3,IF(E8="High",F8*4))))</f>
        <v>12</v>
      </c>
      <c r="H8" s="273" t="s">
        <v>246</v>
      </c>
      <c r="I8" s="276">
        <v>3</v>
      </c>
      <c r="J8" s="273" t="s">
        <v>339</v>
      </c>
      <c r="K8" s="363" t="str">
        <f>IF(J8="","",IF(J8="0 to 3","Low",IF(J8="4 to 9","Average","High")))</f>
        <v>Low</v>
      </c>
      <c r="L8" s="366">
        <f>IF(OR(H8="",K8="",NOT(ISNUMBER(I8))),"",IF(H8="Logical",IF(K8="Low",4*I8,IF(K8="Average",6*I8,IF(K8="High",10*I8))),IF(H8="Mathematical",IF(K8="Low",3*I8,IF(K8="Average",4*I8,IF(K8="High",7*I8,"Error"))))))</f>
        <v>12</v>
      </c>
      <c r="M8" s="273" t="s">
        <v>250</v>
      </c>
      <c r="N8" s="284">
        <v>4</v>
      </c>
      <c r="O8" s="366">
        <f>IF(OR(M8="",N8="",NOT(ISNUMBER(N8))),"",IF(M8="Low",N8*2,IF(M8="Average",N8*3,IF(M8="High",N8*5))))</f>
        <v>8</v>
      </c>
      <c r="P8" s="273" t="s">
        <v>341</v>
      </c>
      <c r="Q8" s="363" t="str">
        <f>IF(P8="","",IF(P8="1 to 3","Low",IF(P8="4 to 9","Average","High")))</f>
        <v>High</v>
      </c>
      <c r="R8" s="278">
        <v>8</v>
      </c>
      <c r="S8" s="366">
        <f>IF(OR(R8="",NOT(ISNUMBER(R8))),"",IF(P8="","",IF(Q8="Low",R8*4,IF(Q8="Average",R8*6,IF(Q8="High",R8*10)))))</f>
        <v>80</v>
      </c>
      <c r="T8" s="293" t="s">
        <v>347</v>
      </c>
      <c r="U8" s="363" t="str">
        <f t="shared" ref="U8:U47" si="1">IF(T8="","",IF(T8="1 to 10","Low",IF(T8="11 to 29","Average","High")))</f>
        <v>High</v>
      </c>
      <c r="V8" s="279">
        <v>5</v>
      </c>
      <c r="W8" s="366">
        <f>IF(OR(T8="",V8="",NOT(ISNUMBER(V8))),"",IF(U8="Low",V8*6,IF(U8="Average",V8*8,IF(U8="High",V8*12))))</f>
        <v>60</v>
      </c>
      <c r="X8" s="297"/>
      <c r="Y8" s="294" t="s">
        <v>350</v>
      </c>
      <c r="Z8" s="363" t="str">
        <f>IF(Y8="","",IF(Y8="1 to 9","Low",IF(Y8="10 to 15","Average","High")))</f>
        <v>Average</v>
      </c>
      <c r="AA8" s="301">
        <v>7</v>
      </c>
      <c r="AB8" s="366">
        <f>IF(OR(Z8="",NOT(ISNUMBER(AA8))),"",IF(Z8="Low",AA8*2,IF(Z8="Average",AA8*3,IF(Z8="High",AA8*4))))</f>
        <v>21</v>
      </c>
      <c r="AC8" s="306" t="s">
        <v>372</v>
      </c>
      <c r="AD8" s="307">
        <v>25</v>
      </c>
      <c r="AE8" s="366">
        <f>IFERROR(ROUND(IF(AC8="No",AD8/16,IF(AC8="yes",(2+(AD8/16)),"")),1),"")</f>
        <v>3.6</v>
      </c>
      <c r="AF8" s="310" t="s">
        <v>351</v>
      </c>
      <c r="AG8" s="363" t="str">
        <f>IF(AF8="","",IF(AF8="1 to 4","Low",IF(AF8="5 to 15","Average","High")))</f>
        <v>High</v>
      </c>
      <c r="AH8" s="278">
        <v>6</v>
      </c>
      <c r="AI8" s="366">
        <f>IF(OR(AG8="",NOT(ISNUMBER(AH8))),"",IF(AG8="Low",AH8*3,IF(AG8="Average",AH8*4,IF(AG8="High",AH8*6))))</f>
        <v>36</v>
      </c>
      <c r="AJ8" s="360" t="s">
        <v>359</v>
      </c>
      <c r="AK8" s="363" t="str">
        <f>IF(AJ8="","",IF(AJ8="1 to 5","Low",IF(AJ8="6 to 19","Average","High")))</f>
        <v>Average</v>
      </c>
      <c r="AL8" s="357">
        <v>2</v>
      </c>
      <c r="AM8" s="366">
        <f>IF(OR(AK8="",NOT(ISNUMBER(AL8))),"",IF(AK8="Low",AL8*3,IF(AK8="Average",AL8*4,IF(AK8="High",AL8*6))))</f>
        <v>8</v>
      </c>
      <c r="AN8" s="297">
        <v>234</v>
      </c>
      <c r="AO8" s="295" t="s">
        <v>257</v>
      </c>
      <c r="AP8" s="267">
        <v>3</v>
      </c>
      <c r="AQ8" s="278" t="s">
        <v>371</v>
      </c>
      <c r="AR8" s="366">
        <f>IF(BN8="","",IF(BN8="BA","TBD",IF(BN8="AA",IF(AP8=2,20,IF(AP8=3,30,IF(AP8&gt;3,40))),IF(BN8="AB",IF(AP8=2,40,IF(AP8=3,60,IF(AP8&gt;3,80))),IF(BN8="AC",IF(AP8=2,10,IF(AP8=3,20,IF(AP8&gt;3,30))))))))</f>
        <v>60</v>
      </c>
      <c r="AS8" s="293" t="s">
        <v>362</v>
      </c>
      <c r="AT8" s="268">
        <v>1</v>
      </c>
      <c r="AU8" s="363" t="str">
        <f>IF(OR(AS8="",AT8=""),"",VLOOKUP(BO8,Parameters!$B$75:$C$83,2,FALSE))</f>
        <v>Low</v>
      </c>
      <c r="AV8" s="277">
        <v>5</v>
      </c>
      <c r="AW8" s="366">
        <f>IF(AU8="","",IF(AU8="Low",AV8*6,IF(AU8="Average",AV8*9,IF(AU8="High",AV8*12))))</f>
        <v>30</v>
      </c>
      <c r="AX8" s="268" t="s">
        <v>340</v>
      </c>
      <c r="AY8" s="363" t="str">
        <f>IF(AX8="","",IF(AX8="1 to 3","Low",IF(AX8="4 to 9","Average","High")))</f>
        <v>Average</v>
      </c>
      <c r="AZ8" s="277">
        <v>1</v>
      </c>
      <c r="BA8" s="366">
        <f>IF(OR(AX8="",NOT(ISNUMBER(AZ8))),"",IF(AY8="Low",AZ8*4,IF(AY8="Average",AZ8*6,IF(AY8="High",AZ8*10))))</f>
        <v>6</v>
      </c>
      <c r="BB8" s="224">
        <v>23</v>
      </c>
      <c r="BC8" s="330">
        <v>5</v>
      </c>
      <c r="BD8" s="278">
        <v>4</v>
      </c>
      <c r="BE8" s="366">
        <f>IF(AND(NOT(ISNUMBER(BD8)),NOT(ISNUMBER(BC8))),"",(BC8*3+BD8*4))</f>
        <v>31</v>
      </c>
      <c r="BF8" s="293" t="s">
        <v>359</v>
      </c>
      <c r="BG8" s="363" t="str">
        <f>IF(BF8="","",IF(BF8="1 to 5","Low",IF(BF8="6 to 19","Average","High")))</f>
        <v>Average</v>
      </c>
      <c r="BH8" s="266">
        <v>2</v>
      </c>
      <c r="BI8" s="277">
        <v>3</v>
      </c>
      <c r="BJ8" s="366">
        <f>IF(OR(BF8="",(BH8+BI8)=0,NOT(ISNUMBER(BI8)),NOT(ISNUMBER(BH8))),"",IF(BG8="Low",(BH8+BI8)*3,IF(BG8="Average",(BH8+BI8)*4,IF(BG8="High",(BH8+BI8)*6))))</f>
        <v>20</v>
      </c>
      <c r="BK8" s="296">
        <v>78</v>
      </c>
      <c r="BL8" s="336"/>
      <c r="BM8" s="341"/>
      <c r="BN8" s="59" t="str">
        <f>IF(AO8="","",IF(AO8="Software Platform",IF(AQ8="Same family","AA",IF(AQ8="Different Family","AB","AC")),IF(AO8="Hardware Platform","BA")))</f>
        <v>AB</v>
      </c>
      <c r="BO8" s="57" t="str">
        <f>AT8&amp;AS8</f>
        <v>11 to 19</v>
      </c>
      <c r="BP8" s="56"/>
      <c r="BQ8" s="57"/>
    </row>
    <row r="9" spans="1:71" s="58" customFormat="1" ht="16.149999999999999" customHeight="1" x14ac:dyDescent="0.25">
      <c r="A9" s="223">
        <f>ROW()-7</f>
        <v>2</v>
      </c>
      <c r="B9" s="258" t="s">
        <v>316</v>
      </c>
      <c r="C9" s="346"/>
      <c r="D9" s="276"/>
      <c r="E9" s="363" t="str">
        <f>IF(D9="","",(IF(D9="1 to 2","Low",IF(D9="3 to 5","Average","High"))))</f>
        <v/>
      </c>
      <c r="F9" s="277"/>
      <c r="G9" s="366" t="str">
        <f>IF(OR(E9="",NOT(ISNUMBER(F9))),"",IF(E9="Low",F9*2,IF(E9="Average",F9*3,IF(E9="High",F9*4))))</f>
        <v/>
      </c>
      <c r="H9" s="273"/>
      <c r="I9" s="276"/>
      <c r="J9" s="273"/>
      <c r="K9" s="363" t="str">
        <f>IF(J9="","",IF(J9="0 to 3","Low",IF(J9="4 to 9","Average","High")))</f>
        <v/>
      </c>
      <c r="L9" s="366" t="str">
        <f>IF(OR(H9="",K9="",NOT(ISNUMBER(I9))),"",IF(H9="Logical",IF(K9="Low",4*I9,IF(K9="Average",6*I9,IF(K9="High",10*I9))),IF(H9="Mathematical",IF(K9="Low",3*I9,IF(K9="Average",4*I9,IF(K9="High",7*I9,"Error"))))))</f>
        <v/>
      </c>
      <c r="M9" s="273"/>
      <c r="N9" s="284"/>
      <c r="O9" s="366" t="str">
        <f>IF(OR(M9="",N9="",NOT(ISNUMBER(N9))),"",IF(M9="Low",N9*2,IF(M9="Average",N9*3,IF(M9="High",N9*5))))</f>
        <v/>
      </c>
      <c r="P9" s="273"/>
      <c r="Q9" s="363" t="str">
        <f>IF(P9="","",IF(P9="1 to 3","Low",IF(P9="4 to 9","Average","High")))</f>
        <v/>
      </c>
      <c r="R9" s="278"/>
      <c r="S9" s="366" t="str">
        <f>IF(OR(R9="",NOT(ISNUMBER(R9))),"",IF(P9="","",IF(Q9="Low",R9*4,IF(Q9="Average",R9*6,IF(Q9="High",R9*10)))))</f>
        <v/>
      </c>
      <c r="T9" s="293"/>
      <c r="U9" s="363" t="str">
        <f t="shared" ref="U9" si="2">IF(T9="","",IF(T9="1 to 10","Low",IF(T9="11 to 29","Average","High")))</f>
        <v/>
      </c>
      <c r="V9" s="279"/>
      <c r="W9" s="366" t="str">
        <f>IF(OR(T9="",V9="",NOT(ISNUMBER(V9))),"",IF(U9="Low",V9*6,IF(U9="Average",V9*8,IF(U9="High",V9*12))))</f>
        <v/>
      </c>
      <c r="X9" s="297"/>
      <c r="Y9" s="294"/>
      <c r="Z9" s="363" t="str">
        <f>IF(Y9="","",IF(Y9="1 to 9","Low",IF(Y9="10 to 15","Average","High")))</f>
        <v/>
      </c>
      <c r="AA9" s="301"/>
      <c r="AB9" s="366" t="str">
        <f>IF(OR(Z9="",NOT(ISNUMBER(AA9))),"",IF(Z9="Low",AA9*2,IF(Z9="Average",AA9*3,IF(Z9="High",AA9*4))))</f>
        <v/>
      </c>
      <c r="AC9" s="306"/>
      <c r="AD9" s="307"/>
      <c r="AE9" s="366" t="str">
        <f>IFERROR(ROUND(IF(AC9="No",AD9/16,IF(AC9="yes",(2+(AD9/16)),"")),1),"")</f>
        <v/>
      </c>
      <c r="AF9" s="310"/>
      <c r="AG9" s="363" t="str">
        <f>IF(AF9="","",IF(AF9="1 to 4","Low",IF(AF9="5 to 15","Average","High")))</f>
        <v/>
      </c>
      <c r="AH9" s="278">
        <v>6</v>
      </c>
      <c r="AI9" s="366" t="str">
        <f>IF(OR(AG9="",NOT(ISNUMBER(AH9))),"",IF(AG9="Low",AH9*3,IF(AG9="Average",AH9*4,IF(AG9="High",AH9*6))))</f>
        <v/>
      </c>
      <c r="AJ9" s="360"/>
      <c r="AK9" s="363" t="str">
        <f>IF(AJ9="","",IF(AJ9="1 to 5","Low",IF(AJ9="6 to 19","Average","High")))</f>
        <v/>
      </c>
      <c r="AL9" s="357"/>
      <c r="AM9" s="366" t="str">
        <f>IF(OR(AK9="",NOT(ISNUMBER(AL9))),"",IF(AK9="Low",AL9*3,IF(AK9="Average",AL9*4,IF(AK9="High",AL9*6))))</f>
        <v/>
      </c>
      <c r="AN9" s="297"/>
      <c r="AO9" s="295"/>
      <c r="AP9" s="267"/>
      <c r="AQ9" s="278"/>
      <c r="AR9" s="366" t="str">
        <f>IF(BN9="","",IF(BN9="BA","TBD",IF(BN9="AA",IF(AP9=2,20,IF(AP9=3,30,IF(AP9&gt;3,40))),IF(BN9="AB",IF(AP9=2,40,IF(AP9=3,60,IF(AP9&gt;3,80))),IF(BN9="AC",IF(AP9=2,10,IF(AP9=3,20,IF(AP9&gt;3,30))))))))</f>
        <v/>
      </c>
      <c r="AS9" s="293"/>
      <c r="AT9" s="268"/>
      <c r="AU9" s="363" t="str">
        <f>IF(OR(AS9="",AT9=""),"",VLOOKUP(BO9,Parameters!$B$75:$C$83,2,FALSE))</f>
        <v/>
      </c>
      <c r="AV9" s="277"/>
      <c r="AW9" s="366" t="str">
        <f>IF(AU9="","",IF(AU9="Low",AV9*6,IF(AU9="Average",AV9*9,IF(AU9="High",AV9*12))))</f>
        <v/>
      </c>
      <c r="AX9" s="268"/>
      <c r="AY9" s="363" t="str">
        <f>IF(AX9="","",IF(AX9="1 to 3","Low",IF(AX9="4 to 9","Average","High")))</f>
        <v/>
      </c>
      <c r="AZ9" s="277"/>
      <c r="BA9" s="366" t="str">
        <f>IF(OR(AX9="",NOT(ISNUMBER(AZ9))),"",IF(AY9="Low",AZ9*4,IF(AY9="Average",AZ9*6,IF(AY9="High",AZ9*10))))</f>
        <v/>
      </c>
      <c r="BB9" s="224"/>
      <c r="BC9" s="330"/>
      <c r="BD9" s="278"/>
      <c r="BE9" s="366" t="str">
        <f>IF(AND(NOT(ISNUMBER(BD9)),NOT(ISNUMBER(BC9))),"",(BC9*3+BD9*4))</f>
        <v/>
      </c>
      <c r="BF9" s="293"/>
      <c r="BG9" s="363" t="str">
        <f>IF(BF9="","",IF(BF9="1 to 5","Low",IF(BF9="6 to 19","Average","High")))</f>
        <v/>
      </c>
      <c r="BH9" s="266"/>
      <c r="BI9" s="277"/>
      <c r="BJ9" s="366" t="str">
        <f>IF(OR(BF9="",(BH9+BI9)=0,NOT(ISNUMBER(BI9)),NOT(ISNUMBER(BH9))),"",IF(BG9="Low",(BH9+BI9)*3,IF(BG9="Average",(BH9+BI9)*4,IF(BG9="High",(BH9+BI9)*6))))</f>
        <v/>
      </c>
      <c r="BK9" s="296"/>
      <c r="BL9" s="336"/>
      <c r="BM9" s="341"/>
      <c r="BN9" s="59" t="str">
        <f>IF(AO9="","",IF(AO9="Software Platform",IF(AQ9="Same family","AA",IF(AQ9="Different Family","AB","AC")),IF(AO9="Hardware Platform","BA")))</f>
        <v/>
      </c>
      <c r="BO9" s="57" t="str">
        <f>AT9&amp;AS9</f>
        <v/>
      </c>
      <c r="BP9" s="56"/>
      <c r="BQ9" s="57"/>
    </row>
    <row r="10" spans="1:71" s="58" customFormat="1" ht="16.149999999999999" customHeight="1" x14ac:dyDescent="0.25">
      <c r="A10" s="223">
        <f>ROW()-7</f>
        <v>3</v>
      </c>
      <c r="B10" s="258" t="s">
        <v>316</v>
      </c>
      <c r="C10" s="347"/>
      <c r="D10" s="273"/>
      <c r="E10" s="363" t="str">
        <f t="shared" ref="E10:E47" si="3">IF(D10="","",(IF(D10="1 to 2","Low",IF(D10="3 to 5","Average","High"))))</f>
        <v/>
      </c>
      <c r="F10" s="278"/>
      <c r="G10" s="366" t="str">
        <f t="shared" ref="G10:G47" si="4">IF(OR(E10="",NOT(ISNUMBER(F10))),"",IF(E10="Low",F10*2,IF(E10="Average",F10*3,IF(E10="High",F10*4))))</f>
        <v/>
      </c>
      <c r="H10" s="282"/>
      <c r="I10" s="274"/>
      <c r="J10" s="273"/>
      <c r="K10" s="363" t="str">
        <f>IF(J10="","",IF(J10="0 to 3","Low",IF(J10="4 to 9","Average","High")))</f>
        <v/>
      </c>
      <c r="L10" s="366" t="str">
        <f t="shared" ref="L10:L47" si="5">IF(OR(H10="",K10="",NOT(ISNUMBER(I10))),"",IF(H10="Logical",IF(K10="Low",4*I10,IF(K10="Average",6*I10,IF(K10="High",10*I10))),IF(H10="Mathematical",IF(K10="Low",3*I10,IF(K10="Average",4*I10,IF(K10="High",7*I10,"Error"))))))</f>
        <v/>
      </c>
      <c r="M10" s="273"/>
      <c r="N10" s="284"/>
      <c r="O10" s="366" t="str">
        <f t="shared" ref="O10:O47" si="6">IF(OR(M10="",N10="",NOT(ISNUMBER(N10))),"",IF(M10="Low",N10*2,IF(M10="Average",N10*3,IF(M10="High",N10*5))))</f>
        <v/>
      </c>
      <c r="P10" s="273"/>
      <c r="Q10" s="363" t="str">
        <f t="shared" ref="Q10:Q47" si="7">IF(P10="","",IF(P10="1 to 3","Low",IF(P10="4 to 9","Average","High")))</f>
        <v/>
      </c>
      <c r="R10" s="278"/>
      <c r="S10" s="366" t="str">
        <f t="shared" ref="S10:S47" si="8">IF(OR(R10="",NOT(ISNUMBER(R10))),"",IF(P10="","",IF(Q10="Low",R10*4,IF(Q10="Average",R10*6,IF(Q10="High",R10*10)))))</f>
        <v/>
      </c>
      <c r="T10" s="293"/>
      <c r="U10" s="363" t="str">
        <f t="shared" si="1"/>
        <v/>
      </c>
      <c r="V10" s="279"/>
      <c r="W10" s="366" t="str">
        <f t="shared" ref="W10:W47" si="9">IF(OR(T10="",V10="",NOT(ISNUMBER(V10))),"",IF(U10="Low",V10*6,IF(U10="Average",V10*8,IF(U10="High",V10*12))))</f>
        <v/>
      </c>
      <c r="X10" s="296"/>
      <c r="Y10" s="294"/>
      <c r="Z10" s="363" t="str">
        <f t="shared" ref="Z10:Z47" si="10">IF(Y10="","",IF(Y10="1 to 9","Low",IF(Y10="10 to 15","Average","High")))</f>
        <v/>
      </c>
      <c r="AA10" s="301"/>
      <c r="AB10" s="366" t="str">
        <f t="shared" ref="AB10:AB47" si="11">IF(OR(Z10="",NOT(ISNUMBER(AA10))),"",IF(Z10="Low",AA10*2,IF(Z10="Average",AA10*3,IF(Z10="High",AA10*4))))</f>
        <v/>
      </c>
      <c r="AC10" s="306"/>
      <c r="AD10" s="307"/>
      <c r="AE10" s="366" t="str">
        <f>IFERROR(ROUND(IF(AC10="No",AD10/16,IF(AC10="yes",(2+(AD10/16)),"")),1),"")</f>
        <v/>
      </c>
      <c r="AF10" s="310"/>
      <c r="AG10" s="363" t="str">
        <f t="shared" ref="AG10:AG47" si="12">IF(AF10="","",IF(AF10="1 to 4","Low",IF(AF10="5 to 15","Average","High")))</f>
        <v/>
      </c>
      <c r="AH10" s="278"/>
      <c r="AI10" s="366" t="str">
        <f t="shared" ref="AI10:AI20" si="13">IF(OR(AG10="",NOT(ISNUMBER(AH10))),"",IF(AG10="Low",AH10*3,IF(AG10="Average",AH10*4,IF(AG10="High",AH10*6))))</f>
        <v/>
      </c>
      <c r="AJ10" s="359"/>
      <c r="AK10" s="363" t="str">
        <f>IF(AJ10="","",IF(AJ10="1 to 5","Low",IF(AJ10="6 to 19","Average","High")))</f>
        <v/>
      </c>
      <c r="AL10" s="312"/>
      <c r="AM10" s="366" t="str">
        <f t="shared" ref="AM10:AM47" si="14">IF(OR(AK10="",NOT(ISNUMBER(AL10))),"",IF(AK10="Low",AL10*3,IF(AK10="Average",AL10*4,IF(AK10="High",AL10*6))))</f>
        <v/>
      </c>
      <c r="AN10" s="296"/>
      <c r="AO10" s="294"/>
      <c r="AP10" s="266"/>
      <c r="AQ10" s="278"/>
      <c r="AR10" s="366" t="str">
        <f t="shared" ref="AR10:AR47" si="15">IF(BN10="","",IF(BN10="BA","TBD",IF(BN10="AA",IF(AP10=2,20,IF(AP10=3,30,IF(AP10&gt;3,40))),IF(BN10="AB",IF(AP10=2,40,IF(AP10=3,60,IF(AP10&gt;3,80))),IF(BN10="AC",IF(AP10=2,10,IF(AP10=3,20,IF(AP10&gt;3,30))))))))</f>
        <v/>
      </c>
      <c r="AS10" s="320"/>
      <c r="AT10" s="268"/>
      <c r="AU10" s="363" t="str">
        <f>IF(OR(AS10="",AT10=""),"",VLOOKUP(BO10,Parameters!$B$75:$C$83,2,FALSE))</f>
        <v/>
      </c>
      <c r="AV10" s="277"/>
      <c r="AW10" s="366" t="str">
        <f t="shared" ref="AW10:AW47" si="16">IF(AU10="","",IF(AU10="Low",AV10*6,IF(AU10="Average",AV10*9,IF(AU10="High",AV10*12))))</f>
        <v/>
      </c>
      <c r="AX10" s="268"/>
      <c r="AY10" s="363" t="str">
        <f>IF(AX10="","",IF(AX10="1 to 3","Low",IF(AX10="4 to 9","Average","High")))</f>
        <v/>
      </c>
      <c r="AZ10" s="277"/>
      <c r="BA10" s="366" t="str">
        <f>IF(OR(AX10="",NOT(ISNUMBER(AZ10))),"",IF(AY10="Low",AZ10*4,IF(AY10="Average",AZ10*6,IF(AY10="High",AZ10*10))))</f>
        <v/>
      </c>
      <c r="BB10" s="326"/>
      <c r="BC10" s="329"/>
      <c r="BD10" s="277"/>
      <c r="BE10" s="366" t="str">
        <f>IF(AND(NOT(ISNUMBER(BD10)),NOT(ISNUMBER(BC10))),"",(BC10*3+BD10*4))</f>
        <v/>
      </c>
      <c r="BF10" s="320"/>
      <c r="BG10" s="363" t="str">
        <f>IF(BF10="","",IF(BF10="1 to 5","Low",IF(BF10="6 to 19","Average","High")))</f>
        <v/>
      </c>
      <c r="BH10" s="266"/>
      <c r="BI10" s="277"/>
      <c r="BJ10" s="366" t="str">
        <f>IF(OR(BF10="",(BH10+BI10)=0,NOT(ISNUMBER(BI10)),NOT(ISNUMBER(BH10))),"",IF(BG10="Low",(BH10+BI10)*3,IF(BG10="Average",(BH10+BI10)*4,IF(BG10="High",(BH10+BI10)*6))))</f>
        <v/>
      </c>
      <c r="BK10" s="296"/>
      <c r="BL10" s="337"/>
      <c r="BM10" s="341"/>
      <c r="BN10" s="59" t="str">
        <f t="shared" ref="BN10:BN47" si="17">IF(AO10="","",IF(AO10="Software Platform",IF(AQ10="Same family","AA",IF(AQ10="Different Family","AB","AC")),IF(AO10="Hardware Platform","BA")))</f>
        <v/>
      </c>
      <c r="BO10" s="57" t="str">
        <f t="shared" ref="BO10:BO47" si="18">AT10&amp;AS10</f>
        <v/>
      </c>
      <c r="BP10" s="56"/>
      <c r="BQ10" s="57"/>
    </row>
    <row r="11" spans="1:71" s="58" customFormat="1" ht="16.149999999999999" customHeight="1" x14ac:dyDescent="0.25">
      <c r="A11" s="223">
        <f t="shared" ref="A11:A47" si="19">ROW()-7</f>
        <v>4</v>
      </c>
      <c r="B11" s="258" t="s">
        <v>316</v>
      </c>
      <c r="C11" s="348"/>
      <c r="D11" s="274"/>
      <c r="E11" s="363" t="str">
        <f t="shared" si="3"/>
        <v/>
      </c>
      <c r="F11" s="279"/>
      <c r="G11" s="367" t="str">
        <f t="shared" si="4"/>
        <v/>
      </c>
      <c r="H11" s="274"/>
      <c r="I11" s="274"/>
      <c r="J11" s="273"/>
      <c r="K11" s="363" t="str">
        <f t="shared" ref="K11:K47" si="20">IF(J11="","",IF(J11="0 to 3","Low",IF(J11="4 to 9","Average","High")))</f>
        <v/>
      </c>
      <c r="L11" s="366" t="str">
        <f t="shared" si="5"/>
        <v/>
      </c>
      <c r="M11" s="274"/>
      <c r="N11" s="284"/>
      <c r="O11" s="366" t="str">
        <f t="shared" si="6"/>
        <v/>
      </c>
      <c r="P11" s="273"/>
      <c r="Q11" s="363" t="str">
        <f t="shared" si="7"/>
        <v/>
      </c>
      <c r="R11" s="278"/>
      <c r="S11" s="366" t="str">
        <f t="shared" si="8"/>
        <v/>
      </c>
      <c r="T11" s="293"/>
      <c r="U11" s="363" t="str">
        <f t="shared" si="1"/>
        <v/>
      </c>
      <c r="V11" s="279"/>
      <c r="W11" s="366" t="str">
        <f t="shared" si="9"/>
        <v/>
      </c>
      <c r="X11" s="297"/>
      <c r="Y11" s="294"/>
      <c r="Z11" s="363" t="str">
        <f t="shared" si="10"/>
        <v/>
      </c>
      <c r="AA11" s="301"/>
      <c r="AB11" s="366" t="str">
        <f t="shared" si="11"/>
        <v/>
      </c>
      <c r="AC11" s="306"/>
      <c r="AD11" s="307"/>
      <c r="AE11" s="366" t="str">
        <f t="shared" ref="AE11:AE47" si="21">IFERROR(ROUND(IF(AC11="No",AD11/16,IF(AC11="yes",(2+(AD11/16)),"")),1),"")</f>
        <v/>
      </c>
      <c r="AF11" s="311"/>
      <c r="AG11" s="363" t="str">
        <f t="shared" si="12"/>
        <v/>
      </c>
      <c r="AH11" s="279"/>
      <c r="AI11" s="366" t="str">
        <f t="shared" si="13"/>
        <v/>
      </c>
      <c r="AJ11" s="360"/>
      <c r="AK11" s="363" t="str">
        <f t="shared" ref="AK11:AK47" si="22">IF(AJ11="","",IF(AJ11="1 to 5","Low",IF(AJ11="6 to 19","Average","High")))</f>
        <v/>
      </c>
      <c r="AL11" s="357"/>
      <c r="AM11" s="366" t="str">
        <f t="shared" si="14"/>
        <v/>
      </c>
      <c r="AN11" s="297"/>
      <c r="AO11" s="295"/>
      <c r="AP11" s="267"/>
      <c r="AQ11" s="278"/>
      <c r="AR11" s="366" t="str">
        <f t="shared" si="15"/>
        <v/>
      </c>
      <c r="AS11" s="293"/>
      <c r="AT11" s="269"/>
      <c r="AU11" s="363" t="str">
        <f>IF(OR(AS11="",AT11=""),"",VLOOKUP(BO11,Parameters!$B$75:$C$83,2,FALSE))</f>
        <v/>
      </c>
      <c r="AV11" s="278"/>
      <c r="AW11" s="366" t="str">
        <f t="shared" si="16"/>
        <v/>
      </c>
      <c r="AX11" s="269"/>
      <c r="AY11" s="363" t="str">
        <f t="shared" ref="AY11:AY47" si="23">IF(AX11="","",IF(AX11="1 to 3","Low",IF(AX11="4 to 9","Average","High")))</f>
        <v/>
      </c>
      <c r="AZ11" s="278"/>
      <c r="BA11" s="366" t="str">
        <f t="shared" ref="BA11:BA47" si="24">IF(OR(AX11="",NOT(ISNUMBER(AZ11))),"",IF(AY11="Low",AZ11*4,IF(AY11="Average",AZ11*6,IF(AY11="High",AZ11*10))))</f>
        <v/>
      </c>
      <c r="BB11" s="327"/>
      <c r="BC11" s="330"/>
      <c r="BD11" s="278"/>
      <c r="BE11" s="366" t="str">
        <f t="shared" ref="BE11:BE47" si="25">IF(AND(NOT(ISNUMBER(BD11)),NOT(ISNUMBER(BC11))),"",(BC11*3+BD11*4))</f>
        <v/>
      </c>
      <c r="BF11" s="293"/>
      <c r="BG11" s="363" t="str">
        <f t="shared" ref="BG11:BG47" si="26">IF(BF11="","",IF(BF11="1 to 5","Low",IF(BF11="6 to 19","Average","High")))</f>
        <v/>
      </c>
      <c r="BH11" s="267"/>
      <c r="BI11" s="278"/>
      <c r="BJ11" s="366" t="str">
        <f t="shared" ref="BJ11:BJ47" si="27">IF(OR(BF11="",(BH11+BI11)=0,NOT(ISNUMBER(BI11)),NOT(ISNUMBER(BH11))),"",IF(BG11="Low",(BH11+BI11)*3,IF(BG11="Average",(BH11+BI11)*4,IF(BG11="High",(BH11+BI11)*6))))</f>
        <v/>
      </c>
      <c r="BK11" s="297"/>
      <c r="BL11" s="338"/>
      <c r="BM11" s="342"/>
      <c r="BN11" s="59" t="str">
        <f t="shared" si="17"/>
        <v/>
      </c>
      <c r="BO11" s="57" t="str">
        <f t="shared" si="18"/>
        <v/>
      </c>
      <c r="BP11" s="57"/>
      <c r="BQ11" s="57"/>
      <c r="BS11" s="173"/>
    </row>
    <row r="12" spans="1:71" s="58" customFormat="1" ht="16.149999999999999" customHeight="1" x14ac:dyDescent="0.25">
      <c r="A12" s="223">
        <f t="shared" si="19"/>
        <v>5</v>
      </c>
      <c r="B12" s="258" t="s">
        <v>316</v>
      </c>
      <c r="C12" s="348"/>
      <c r="D12" s="274"/>
      <c r="E12" s="363" t="str">
        <f>IF(D12="","",(IF(D12="1 to 2","Low",IF(D12="3 to 5","Average","High"))))</f>
        <v/>
      </c>
      <c r="F12" s="279"/>
      <c r="G12" s="367" t="str">
        <f>IF(OR(E12="",NOT(ISNUMBER(F12))),"",IF(E12="Low",F12*2,IF(E12="Average",F12*3,IF(E12="High",F12*4))))</f>
        <v/>
      </c>
      <c r="H12" s="274"/>
      <c r="I12" s="274"/>
      <c r="J12" s="273"/>
      <c r="K12" s="363" t="str">
        <f>IF(J12="","",IF(J12="0 to 3","Low",IF(J12="4 to 9","Average","High")))</f>
        <v/>
      </c>
      <c r="L12" s="366" t="str">
        <f>IF(OR(H12="",K12="",NOT(ISNUMBER(I12))),"",IF(H12="Logical",IF(K12="Low",4*I12,IF(K12="Average",6*I12,IF(K12="High",10*I12))),IF(H12="Mathematical",IF(K12="Low",3*I12,IF(K12="Average",4*I12,IF(K12="High",7*I12,"Error"))))))</f>
        <v/>
      </c>
      <c r="M12" s="274"/>
      <c r="N12" s="284"/>
      <c r="O12" s="366" t="str">
        <f>IF(OR(M12="",N12="",NOT(ISNUMBER(N12))),"",IF(M12="Low",N12*2,IF(M12="Average",N12*3,IF(M12="High",N12*5))))</f>
        <v/>
      </c>
      <c r="P12" s="273"/>
      <c r="Q12" s="363" t="str">
        <f>IF(P12="","",IF(P12="1 to 3","Low",IF(P12="4 to 9","Average","High")))</f>
        <v/>
      </c>
      <c r="R12" s="278"/>
      <c r="S12" s="366" t="str">
        <f>IF(OR(R12="",NOT(ISNUMBER(R12))),"",IF(P12="","",IF(Q12="Low",R12*4,IF(Q12="Average",R12*6,IF(Q12="High",R12*10)))))</f>
        <v/>
      </c>
      <c r="T12" s="293"/>
      <c r="U12" s="363" t="str">
        <f>IF(T12="","",IF(T12="1 to 10","Low",IF(T12="11 to 29","Average","High")))</f>
        <v/>
      </c>
      <c r="V12" s="279"/>
      <c r="W12" s="366" t="str">
        <f>IF(OR(T12="",V12="",NOT(ISNUMBER(V12))),"",IF(U12="Low",V12*6,IF(U12="Average",V12*8,IF(U12="High",V12*12))))</f>
        <v/>
      </c>
      <c r="X12" s="297"/>
      <c r="Y12" s="294"/>
      <c r="Z12" s="363" t="str">
        <f>IF(Y12="","",IF(Y12="1 to 9","Low",IF(Y12="10 to 15","Average","High")))</f>
        <v/>
      </c>
      <c r="AA12" s="301"/>
      <c r="AB12" s="366" t="str">
        <f>IF(OR(Z12="",NOT(ISNUMBER(AA12))),"",IF(Z12="Low",AA12*2,IF(Z12="Average",AA12*3,IF(Z12="High",AA12*4))))</f>
        <v/>
      </c>
      <c r="AC12" s="306"/>
      <c r="AD12" s="307"/>
      <c r="AE12" s="366" t="str">
        <f t="shared" si="21"/>
        <v/>
      </c>
      <c r="AF12" s="311"/>
      <c r="AG12" s="363" t="str">
        <f>IF(AF12="","",IF(AF12="1 to 4","Low",IF(AF12="5 to 15","Average","High")))</f>
        <v/>
      </c>
      <c r="AH12" s="279"/>
      <c r="AI12" s="366" t="str">
        <f>IF(OR(AG12="",NOT(ISNUMBER(AH12))),"",IF(AG12="Low",AH12*3,IF(AG12="Average",AH12*4,IF(AG12="High",AH12*6))))</f>
        <v/>
      </c>
      <c r="AJ12" s="360"/>
      <c r="AK12" s="363" t="str">
        <f>IF(AJ12="","",IF(AJ12="1 to 5","Low",IF(AJ12="6 to 19","Average","High")))</f>
        <v/>
      </c>
      <c r="AL12" s="357"/>
      <c r="AM12" s="366" t="str">
        <f>IF(OR(AK12="",NOT(ISNUMBER(AL12))),"",IF(AK12="Low",AL12*3,IF(AK12="Average",AL12*4,IF(AK12="High",AL12*6))))</f>
        <v/>
      </c>
      <c r="AN12" s="297"/>
      <c r="AO12" s="295"/>
      <c r="AP12" s="267"/>
      <c r="AQ12" s="278"/>
      <c r="AR12" s="366" t="str">
        <f>IF(BN12="","",IF(BN12="BA","TBD",IF(BN12="AA",IF(AP12=2,20,IF(AP12=3,30,IF(AP12&gt;3,40))),IF(BN12="AB",IF(AP12=2,40,IF(AP12=3,60,IF(AP12&gt;3,80))),IF(BN12="AC",IF(AP12=2,10,IF(AP12=3,20,IF(AP12&gt;3,30))))))))</f>
        <v/>
      </c>
      <c r="AS12" s="293"/>
      <c r="AT12" s="269"/>
      <c r="AU12" s="363" t="str">
        <f>IF(OR(AS12="",AT12=""),"",VLOOKUP(BO12,Parameters!$B$75:$C$83,2,FALSE))</f>
        <v/>
      </c>
      <c r="AV12" s="278"/>
      <c r="AW12" s="366" t="str">
        <f>IF(AU12="","",IF(AU12="Low",AV12*6,IF(AU12="Average",AV12*9,IF(AU12="High",AV12*12))))</f>
        <v/>
      </c>
      <c r="AX12" s="269"/>
      <c r="AY12" s="363" t="str">
        <f>IF(AX12="","",IF(AX12="1 to 3","Low",IF(AX12="4 to 9","Average","High")))</f>
        <v/>
      </c>
      <c r="AZ12" s="278"/>
      <c r="BA12" s="366" t="str">
        <f>IF(OR(AX12="",NOT(ISNUMBER(AZ12))),"",IF(AY12="Low",AZ12*4,IF(AY12="Average",AZ12*6,IF(AY12="High",AZ12*10))))</f>
        <v/>
      </c>
      <c r="BB12" s="327"/>
      <c r="BC12" s="330"/>
      <c r="BD12" s="278"/>
      <c r="BE12" s="366" t="str">
        <f>IF(AND(NOT(ISNUMBER(BD12)),NOT(ISNUMBER(BC12))),"",(BC12*3+BD12*4))</f>
        <v/>
      </c>
      <c r="BF12" s="293"/>
      <c r="BG12" s="363" t="str">
        <f>IF(BF12="","",IF(BF12="1 to 5","Low",IF(BF12="6 to 19","Average","High")))</f>
        <v/>
      </c>
      <c r="BH12" s="267"/>
      <c r="BI12" s="278"/>
      <c r="BJ12" s="366" t="str">
        <f>IF(OR(BF12="",(BH12+BI12)=0,NOT(ISNUMBER(BI12)),NOT(ISNUMBER(BH12))),"",IF(BG12="Low",(BH12+BI12)*3,IF(BG12="Average",(BH12+BI12)*4,IF(BG12="High",(BH12+BI12)*6))))</f>
        <v/>
      </c>
      <c r="BK12" s="297"/>
      <c r="BL12" s="338"/>
      <c r="BM12" s="342"/>
      <c r="BN12" s="59" t="str">
        <f>IF(AO12="","",IF(AO12="Software Platform",IF(AQ12="Same family","AA",IF(AQ12="Different Family","AB","AC")),IF(AO12="Hardware Platform","BA")))</f>
        <v/>
      </c>
      <c r="BO12" s="57" t="str">
        <f>AT12&amp;AS12</f>
        <v/>
      </c>
      <c r="BP12" s="57"/>
      <c r="BQ12" s="57"/>
      <c r="BS12" s="173"/>
    </row>
    <row r="13" spans="1:71" s="58" customFormat="1" ht="16.149999999999999" customHeight="1" x14ac:dyDescent="0.25">
      <c r="A13" s="223">
        <f t="shared" si="19"/>
        <v>6</v>
      </c>
      <c r="B13" s="258" t="s">
        <v>316</v>
      </c>
      <c r="C13" s="348"/>
      <c r="D13" s="274"/>
      <c r="E13" s="363" t="str">
        <f>IF(D13="","",(IF(D13="1 to 2","Low",IF(D13="3 to 5","Average","High"))))</f>
        <v/>
      </c>
      <c r="F13" s="279"/>
      <c r="G13" s="367" t="str">
        <f>IF(OR(E13="",NOT(ISNUMBER(F13))),"",IF(E13="Low",F13*2,IF(E13="Average",F13*3,IF(E13="High",F13*4))))</f>
        <v/>
      </c>
      <c r="H13" s="274"/>
      <c r="I13" s="274"/>
      <c r="J13" s="273"/>
      <c r="K13" s="363" t="str">
        <f>IF(J13="","",IF(J13="0 to 3","Low",IF(J13="4 to 9","Average","High")))</f>
        <v/>
      </c>
      <c r="L13" s="366" t="str">
        <f>IF(OR(H13="",K13="",NOT(ISNUMBER(I13))),"",IF(H13="Logical",IF(K13="Low",4*I13,IF(K13="Average",6*I13,IF(K13="High",10*I13))),IF(H13="Mathematical",IF(K13="Low",3*I13,IF(K13="Average",4*I13,IF(K13="High",7*I13,"Error"))))))</f>
        <v/>
      </c>
      <c r="M13" s="274"/>
      <c r="N13" s="284"/>
      <c r="O13" s="366" t="str">
        <f>IF(OR(M13="",N13="",NOT(ISNUMBER(N13))),"",IF(M13="Low",N13*2,IF(M13="Average",N13*3,IF(M13="High",N13*5))))</f>
        <v/>
      </c>
      <c r="P13" s="273"/>
      <c r="Q13" s="363" t="str">
        <f>IF(P13="","",IF(P13="1 to 3","Low",IF(P13="4 to 9","Average","High")))</f>
        <v/>
      </c>
      <c r="R13" s="278"/>
      <c r="S13" s="366" t="str">
        <f>IF(OR(R13="",NOT(ISNUMBER(R13))),"",IF(P13="","",IF(Q13="Low",R13*4,IF(Q13="Average",R13*6,IF(Q13="High",R13*10)))))</f>
        <v/>
      </c>
      <c r="T13" s="293"/>
      <c r="U13" s="363" t="str">
        <f>IF(T13="","",IF(T13="1 to 10","Low",IF(T13="11 to 29","Average","High")))</f>
        <v/>
      </c>
      <c r="V13" s="279"/>
      <c r="W13" s="366" t="str">
        <f>IF(OR(T13="",V13="",NOT(ISNUMBER(V13))),"",IF(U13="Low",V13*6,IF(U13="Average",V13*8,IF(U13="High",V13*12))))</f>
        <v/>
      </c>
      <c r="X13" s="297"/>
      <c r="Y13" s="294"/>
      <c r="Z13" s="363" t="str">
        <f>IF(Y13="","",IF(Y13="1 to 9","Low",IF(Y13="10 to 15","Average","High")))</f>
        <v/>
      </c>
      <c r="AA13" s="301"/>
      <c r="AB13" s="366" t="str">
        <f>IF(OR(Z13="",NOT(ISNUMBER(AA13))),"",IF(Z13="Low",AA13*2,IF(Z13="Average",AA13*3,IF(Z13="High",AA13*4))))</f>
        <v/>
      </c>
      <c r="AC13" s="306"/>
      <c r="AD13" s="307"/>
      <c r="AE13" s="366" t="str">
        <f t="shared" si="21"/>
        <v/>
      </c>
      <c r="AF13" s="311"/>
      <c r="AG13" s="363" t="str">
        <f>IF(AF13="","",IF(AF13="1 to 4","Low",IF(AF13="5 to 15","Average","High")))</f>
        <v/>
      </c>
      <c r="AH13" s="279"/>
      <c r="AI13" s="366" t="str">
        <f>IF(OR(AG13="",NOT(ISNUMBER(AH13))),"",IF(AG13="Low",AH13*3,IF(AG13="Average",AH13*4,IF(AG13="High",AH13*6))))</f>
        <v/>
      </c>
      <c r="AJ13" s="360"/>
      <c r="AK13" s="363" t="str">
        <f>IF(AJ13="","",IF(AJ13="1 to 5","Low",IF(AJ13="6 to 19","Average","High")))</f>
        <v/>
      </c>
      <c r="AL13" s="357"/>
      <c r="AM13" s="366" t="str">
        <f>IF(OR(AK13="",NOT(ISNUMBER(AL13))),"",IF(AK13="Low",AL13*3,IF(AK13="Average",AL13*4,IF(AK13="High",AL13*6))))</f>
        <v/>
      </c>
      <c r="AN13" s="297"/>
      <c r="AO13" s="295"/>
      <c r="AP13" s="267"/>
      <c r="AQ13" s="278"/>
      <c r="AR13" s="366" t="str">
        <f>IF(BN13="","",IF(BN13="BA","TBD",IF(BN13="AA",IF(AP13=2,20,IF(AP13=3,30,IF(AP13&gt;3,40))),IF(BN13="AB",IF(AP13=2,40,IF(AP13=3,60,IF(AP13&gt;3,80))),IF(BN13="AC",IF(AP13=2,10,IF(AP13=3,20,IF(AP13&gt;3,30))))))))</f>
        <v/>
      </c>
      <c r="AS13" s="293"/>
      <c r="AT13" s="269"/>
      <c r="AU13" s="363" t="str">
        <f>IF(OR(AS13="",AT13=""),"",VLOOKUP(BO13,Parameters!$B$75:$C$83,2,FALSE))</f>
        <v/>
      </c>
      <c r="AV13" s="278"/>
      <c r="AW13" s="366" t="str">
        <f>IF(AU13="","",IF(AU13="Low",AV13*6,IF(AU13="Average",AV13*9,IF(AU13="High",AV13*12))))</f>
        <v/>
      </c>
      <c r="AX13" s="269"/>
      <c r="AY13" s="363" t="str">
        <f>IF(AX13="","",IF(AX13="1 to 3","Low",IF(AX13="4 to 9","Average","High")))</f>
        <v/>
      </c>
      <c r="AZ13" s="278"/>
      <c r="BA13" s="366" t="str">
        <f>IF(OR(AX13="",NOT(ISNUMBER(AZ13))),"",IF(AY13="Low",AZ13*4,IF(AY13="Average",AZ13*6,IF(AY13="High",AZ13*10))))</f>
        <v/>
      </c>
      <c r="BB13" s="327"/>
      <c r="BC13" s="330"/>
      <c r="BD13" s="278"/>
      <c r="BE13" s="366" t="str">
        <f>IF(AND(NOT(ISNUMBER(BD13)),NOT(ISNUMBER(BC13))),"",(BC13*3+BD13*4))</f>
        <v/>
      </c>
      <c r="BF13" s="293"/>
      <c r="BG13" s="363" t="str">
        <f>IF(BF13="","",IF(BF13="1 to 5","Low",IF(BF13="6 to 19","Average","High")))</f>
        <v/>
      </c>
      <c r="BH13" s="267"/>
      <c r="BI13" s="278"/>
      <c r="BJ13" s="366" t="str">
        <f>IF(OR(BF13="",(BH13+BI13)=0,NOT(ISNUMBER(BI13)),NOT(ISNUMBER(BH13))),"",IF(BG13="Low",(BH13+BI13)*3,IF(BG13="Average",(BH13+BI13)*4,IF(BG13="High",(BH13+BI13)*6))))</f>
        <v/>
      </c>
      <c r="BK13" s="297"/>
      <c r="BL13" s="338"/>
      <c r="BM13" s="342"/>
      <c r="BN13" s="59" t="str">
        <f>IF(AO13="","",IF(AO13="Software Platform",IF(AQ13="Same family","AA",IF(AQ13="Different Family","AB","AC")),IF(AO13="Hardware Platform","BA")))</f>
        <v/>
      </c>
      <c r="BO13" s="57" t="str">
        <f>AT13&amp;AS13</f>
        <v/>
      </c>
      <c r="BP13" s="57"/>
      <c r="BQ13" s="57"/>
      <c r="BS13" s="173"/>
    </row>
    <row r="14" spans="1:71" s="58" customFormat="1" ht="16.149999999999999" customHeight="1" x14ac:dyDescent="0.25">
      <c r="A14" s="223">
        <f t="shared" si="19"/>
        <v>7</v>
      </c>
      <c r="B14" s="258" t="s">
        <v>316</v>
      </c>
      <c r="C14" s="348"/>
      <c r="D14" s="274"/>
      <c r="E14" s="363" t="str">
        <f t="shared" si="3"/>
        <v/>
      </c>
      <c r="F14" s="279"/>
      <c r="G14" s="366" t="str">
        <f t="shared" si="4"/>
        <v/>
      </c>
      <c r="H14" s="274"/>
      <c r="I14" s="274"/>
      <c r="J14" s="273"/>
      <c r="K14" s="363" t="str">
        <f t="shared" si="20"/>
        <v/>
      </c>
      <c r="L14" s="366" t="str">
        <f t="shared" si="5"/>
        <v/>
      </c>
      <c r="M14" s="274"/>
      <c r="N14" s="284"/>
      <c r="O14" s="366" t="str">
        <f t="shared" si="6"/>
        <v/>
      </c>
      <c r="P14" s="273"/>
      <c r="Q14" s="363" t="str">
        <f t="shared" si="7"/>
        <v/>
      </c>
      <c r="R14" s="278"/>
      <c r="S14" s="366" t="str">
        <f t="shared" si="8"/>
        <v/>
      </c>
      <c r="T14" s="293"/>
      <c r="U14" s="363" t="str">
        <f t="shared" si="1"/>
        <v/>
      </c>
      <c r="V14" s="279"/>
      <c r="W14" s="366" t="str">
        <f t="shared" si="9"/>
        <v/>
      </c>
      <c r="X14" s="297"/>
      <c r="Y14" s="294"/>
      <c r="Z14" s="363" t="str">
        <f t="shared" si="10"/>
        <v/>
      </c>
      <c r="AA14" s="301"/>
      <c r="AB14" s="366" t="str">
        <f t="shared" si="11"/>
        <v/>
      </c>
      <c r="AC14" s="306"/>
      <c r="AD14" s="307"/>
      <c r="AE14" s="366" t="str">
        <f t="shared" si="21"/>
        <v/>
      </c>
      <c r="AF14" s="311"/>
      <c r="AG14" s="363" t="str">
        <f t="shared" si="12"/>
        <v/>
      </c>
      <c r="AH14" s="279"/>
      <c r="AI14" s="366" t="str">
        <f t="shared" si="13"/>
        <v/>
      </c>
      <c r="AJ14" s="360"/>
      <c r="AK14" s="363" t="str">
        <f t="shared" si="22"/>
        <v/>
      </c>
      <c r="AL14" s="357"/>
      <c r="AM14" s="366" t="str">
        <f t="shared" si="14"/>
        <v/>
      </c>
      <c r="AN14" s="297"/>
      <c r="AO14" s="295"/>
      <c r="AP14" s="264"/>
      <c r="AQ14" s="278"/>
      <c r="AR14" s="366" t="str">
        <f t="shared" si="15"/>
        <v/>
      </c>
      <c r="AS14" s="293"/>
      <c r="AT14" s="269"/>
      <c r="AU14" s="363" t="str">
        <f>IF(OR(AS14="",AT14=""),"",VLOOKUP(BO14,Parameters!$B$75:$C$83,2,FALSE))</f>
        <v/>
      </c>
      <c r="AV14" s="279"/>
      <c r="AW14" s="366" t="str">
        <f t="shared" si="16"/>
        <v/>
      </c>
      <c r="AX14" s="269"/>
      <c r="AY14" s="363" t="str">
        <f t="shared" si="23"/>
        <v/>
      </c>
      <c r="AZ14" s="279"/>
      <c r="BA14" s="366" t="str">
        <f t="shared" si="24"/>
        <v/>
      </c>
      <c r="BB14" s="225"/>
      <c r="BC14" s="331"/>
      <c r="BD14" s="279"/>
      <c r="BE14" s="366" t="str">
        <f t="shared" si="25"/>
        <v/>
      </c>
      <c r="BF14" s="293"/>
      <c r="BG14" s="363" t="str">
        <f t="shared" si="26"/>
        <v/>
      </c>
      <c r="BH14" s="264"/>
      <c r="BI14" s="279"/>
      <c r="BJ14" s="366" t="str">
        <f t="shared" si="27"/>
        <v/>
      </c>
      <c r="BK14" s="297"/>
      <c r="BL14" s="338"/>
      <c r="BM14" s="342"/>
      <c r="BN14" s="59" t="str">
        <f t="shared" si="17"/>
        <v/>
      </c>
      <c r="BO14" s="57" t="str">
        <f t="shared" si="18"/>
        <v/>
      </c>
      <c r="BP14" s="57"/>
      <c r="BQ14" s="57"/>
    </row>
    <row r="15" spans="1:71" s="58" customFormat="1" ht="16.149999999999999" customHeight="1" x14ac:dyDescent="0.25">
      <c r="A15" s="223">
        <f t="shared" si="19"/>
        <v>8</v>
      </c>
      <c r="B15" s="258" t="s">
        <v>316</v>
      </c>
      <c r="C15" s="348"/>
      <c r="D15" s="274"/>
      <c r="E15" s="363" t="str">
        <f t="shared" si="3"/>
        <v/>
      </c>
      <c r="F15" s="279"/>
      <c r="G15" s="366" t="str">
        <f t="shared" si="4"/>
        <v/>
      </c>
      <c r="H15" s="274"/>
      <c r="I15" s="274"/>
      <c r="J15" s="273"/>
      <c r="K15" s="363" t="str">
        <f t="shared" si="20"/>
        <v/>
      </c>
      <c r="L15" s="366" t="str">
        <f t="shared" si="5"/>
        <v/>
      </c>
      <c r="M15" s="274"/>
      <c r="N15" s="284"/>
      <c r="O15" s="366" t="str">
        <f t="shared" si="6"/>
        <v/>
      </c>
      <c r="P15" s="273"/>
      <c r="Q15" s="363" t="str">
        <f t="shared" si="7"/>
        <v/>
      </c>
      <c r="R15" s="278"/>
      <c r="S15" s="366" t="str">
        <f t="shared" si="8"/>
        <v/>
      </c>
      <c r="T15" s="293"/>
      <c r="U15" s="363" t="str">
        <f t="shared" si="1"/>
        <v/>
      </c>
      <c r="V15" s="279"/>
      <c r="W15" s="366" t="str">
        <f t="shared" si="9"/>
        <v/>
      </c>
      <c r="X15" s="297"/>
      <c r="Y15" s="294"/>
      <c r="Z15" s="363" t="str">
        <f t="shared" si="10"/>
        <v/>
      </c>
      <c r="AA15" s="301"/>
      <c r="AB15" s="366" t="str">
        <f t="shared" si="11"/>
        <v/>
      </c>
      <c r="AC15" s="306"/>
      <c r="AD15" s="307"/>
      <c r="AE15" s="366" t="str">
        <f t="shared" si="21"/>
        <v/>
      </c>
      <c r="AF15" s="311"/>
      <c r="AG15" s="363" t="str">
        <f t="shared" si="12"/>
        <v/>
      </c>
      <c r="AH15" s="279"/>
      <c r="AI15" s="366" t="str">
        <f t="shared" si="13"/>
        <v/>
      </c>
      <c r="AJ15" s="360"/>
      <c r="AK15" s="363" t="str">
        <f t="shared" si="22"/>
        <v/>
      </c>
      <c r="AL15" s="357"/>
      <c r="AM15" s="366" t="str">
        <f t="shared" si="14"/>
        <v/>
      </c>
      <c r="AN15" s="297"/>
      <c r="AO15" s="295"/>
      <c r="AP15" s="264"/>
      <c r="AQ15" s="278"/>
      <c r="AR15" s="366" t="str">
        <f t="shared" si="15"/>
        <v/>
      </c>
      <c r="AS15" s="293"/>
      <c r="AT15" s="269"/>
      <c r="AU15" s="363" t="str">
        <f>IF(OR(AS15="",AT15=""),"",VLOOKUP(BO15,Parameters!$B$75:$C$83,2,FALSE))</f>
        <v/>
      </c>
      <c r="AV15" s="279"/>
      <c r="AW15" s="366" t="str">
        <f t="shared" si="16"/>
        <v/>
      </c>
      <c r="AX15" s="269"/>
      <c r="AY15" s="363" t="str">
        <f t="shared" si="23"/>
        <v/>
      </c>
      <c r="AZ15" s="279"/>
      <c r="BA15" s="366" t="str">
        <f t="shared" si="24"/>
        <v/>
      </c>
      <c r="BB15" s="225"/>
      <c r="BC15" s="331"/>
      <c r="BD15" s="279"/>
      <c r="BE15" s="366" t="str">
        <f t="shared" si="25"/>
        <v/>
      </c>
      <c r="BF15" s="293"/>
      <c r="BG15" s="363" t="str">
        <f t="shared" si="26"/>
        <v/>
      </c>
      <c r="BH15" s="264"/>
      <c r="BI15" s="279"/>
      <c r="BJ15" s="366" t="str">
        <f t="shared" si="27"/>
        <v/>
      </c>
      <c r="BK15" s="297"/>
      <c r="BL15" s="338"/>
      <c r="BM15" s="342"/>
      <c r="BN15" s="59" t="str">
        <f t="shared" si="17"/>
        <v/>
      </c>
      <c r="BO15" s="57" t="str">
        <f t="shared" si="18"/>
        <v/>
      </c>
      <c r="BP15" s="57"/>
      <c r="BQ15" s="57"/>
    </row>
    <row r="16" spans="1:71" s="58" customFormat="1" ht="16.149999999999999" customHeight="1" x14ac:dyDescent="0.25">
      <c r="A16" s="223">
        <f t="shared" si="19"/>
        <v>9</v>
      </c>
      <c r="B16" s="258" t="s">
        <v>316</v>
      </c>
      <c r="C16" s="348"/>
      <c r="D16" s="274"/>
      <c r="E16" s="363" t="str">
        <f t="shared" si="3"/>
        <v/>
      </c>
      <c r="F16" s="279"/>
      <c r="G16" s="366" t="str">
        <f t="shared" si="4"/>
        <v/>
      </c>
      <c r="H16" s="274"/>
      <c r="I16" s="274"/>
      <c r="J16" s="273"/>
      <c r="K16" s="363" t="str">
        <f t="shared" si="20"/>
        <v/>
      </c>
      <c r="L16" s="366" t="str">
        <f t="shared" si="5"/>
        <v/>
      </c>
      <c r="M16" s="274"/>
      <c r="N16" s="284"/>
      <c r="O16" s="366" t="str">
        <f t="shared" si="6"/>
        <v/>
      </c>
      <c r="P16" s="273"/>
      <c r="Q16" s="363" t="str">
        <f t="shared" si="7"/>
        <v/>
      </c>
      <c r="R16" s="278"/>
      <c r="S16" s="366" t="str">
        <f t="shared" si="8"/>
        <v/>
      </c>
      <c r="T16" s="293"/>
      <c r="U16" s="363" t="str">
        <f t="shared" si="1"/>
        <v/>
      </c>
      <c r="V16" s="279"/>
      <c r="W16" s="366" t="str">
        <f t="shared" si="9"/>
        <v/>
      </c>
      <c r="X16" s="297"/>
      <c r="Y16" s="294"/>
      <c r="Z16" s="363" t="str">
        <f t="shared" si="10"/>
        <v/>
      </c>
      <c r="AA16" s="301"/>
      <c r="AB16" s="366" t="str">
        <f t="shared" si="11"/>
        <v/>
      </c>
      <c r="AC16" s="306"/>
      <c r="AD16" s="307"/>
      <c r="AE16" s="366" t="str">
        <f t="shared" si="21"/>
        <v/>
      </c>
      <c r="AF16" s="311"/>
      <c r="AG16" s="363" t="str">
        <f t="shared" si="12"/>
        <v/>
      </c>
      <c r="AH16" s="279"/>
      <c r="AI16" s="366" t="str">
        <f t="shared" si="13"/>
        <v/>
      </c>
      <c r="AJ16" s="360"/>
      <c r="AK16" s="363" t="str">
        <f t="shared" si="22"/>
        <v/>
      </c>
      <c r="AL16" s="357"/>
      <c r="AM16" s="366" t="str">
        <f t="shared" si="14"/>
        <v/>
      </c>
      <c r="AN16" s="297"/>
      <c r="AO16" s="295"/>
      <c r="AP16" s="264"/>
      <c r="AQ16" s="278"/>
      <c r="AR16" s="366" t="str">
        <f t="shared" si="15"/>
        <v/>
      </c>
      <c r="AS16" s="293"/>
      <c r="AT16" s="269"/>
      <c r="AU16" s="363" t="str">
        <f>IF(OR(AS16="",AT16=""),"",VLOOKUP(BO16,Parameters!$B$75:$C$83,2,FALSE))</f>
        <v/>
      </c>
      <c r="AV16" s="279"/>
      <c r="AW16" s="366" t="str">
        <f t="shared" si="16"/>
        <v/>
      </c>
      <c r="AX16" s="269"/>
      <c r="AY16" s="363" t="str">
        <f t="shared" si="23"/>
        <v/>
      </c>
      <c r="AZ16" s="279"/>
      <c r="BA16" s="366" t="str">
        <f t="shared" ref="BA16:BA21" si="28">IF(OR(AX16="",NOT(ISNUMBER(AZ16))),"",IF(AY16="Low",AZ16*4,IF(AY16="Average",AZ16*6,IF(AY16="High",AZ16*10))))</f>
        <v/>
      </c>
      <c r="BB16" s="225"/>
      <c r="BC16" s="331"/>
      <c r="BD16" s="279"/>
      <c r="BE16" s="366" t="str">
        <f t="shared" si="25"/>
        <v/>
      </c>
      <c r="BF16" s="293"/>
      <c r="BG16" s="363" t="str">
        <f t="shared" si="26"/>
        <v/>
      </c>
      <c r="BH16" s="264"/>
      <c r="BI16" s="279"/>
      <c r="BJ16" s="366" t="str">
        <f t="shared" ref="BJ16:BJ21" si="29">IF(OR(BF16="",(BH16+BI16)=0,NOT(ISNUMBER(BI16)),NOT(ISNUMBER(BH16))),"",IF(BG16="Low",(BH16+BI16)*3,IF(BG16="Average",(BH16+BI16)*4,IF(BG16="High",(BH16+BI16)*6))))</f>
        <v/>
      </c>
      <c r="BK16" s="297"/>
      <c r="BL16" s="338"/>
      <c r="BM16" s="342"/>
      <c r="BN16" s="59" t="str">
        <f t="shared" si="17"/>
        <v/>
      </c>
      <c r="BO16" s="57" t="str">
        <f t="shared" si="18"/>
        <v/>
      </c>
      <c r="BP16" s="57"/>
      <c r="BQ16" s="57"/>
    </row>
    <row r="17" spans="1:69" s="58" customFormat="1" ht="16.149999999999999" customHeight="1" x14ac:dyDescent="0.25">
      <c r="A17" s="223">
        <f t="shared" si="19"/>
        <v>10</v>
      </c>
      <c r="B17" s="258" t="s">
        <v>316</v>
      </c>
      <c r="C17" s="348"/>
      <c r="D17" s="274"/>
      <c r="E17" s="363" t="str">
        <f t="shared" ref="E17" si="30">IF(D17="","",(IF(D17="1 to 2","Low",IF(D17="3 to 5","Average","High"))))</f>
        <v/>
      </c>
      <c r="F17" s="279"/>
      <c r="G17" s="366" t="str">
        <f t="shared" ref="G17" si="31">IF(OR(E17="",NOT(ISNUMBER(F17))),"",IF(E17="Low",F17*2,IF(E17="Average",F17*3,IF(E17="High",F17*4))))</f>
        <v/>
      </c>
      <c r="H17" s="274"/>
      <c r="I17" s="274"/>
      <c r="J17" s="273"/>
      <c r="K17" s="363" t="str">
        <f t="shared" ref="K17" si="32">IF(J17="","",IF(J17="0 to 3","Low",IF(J17="4 to 9","Average","High")))</f>
        <v/>
      </c>
      <c r="L17" s="366" t="str">
        <f t="shared" ref="L17" si="33">IF(OR(H17="",K17="",NOT(ISNUMBER(I17))),"",IF(H17="Logical",IF(K17="Low",4*I17,IF(K17="Average",6*I17,IF(K17="High",10*I17))),IF(H17="Mathematical",IF(K17="Low",3*I17,IF(K17="Average",4*I17,IF(K17="High",7*I17,"Error"))))))</f>
        <v/>
      </c>
      <c r="M17" s="274"/>
      <c r="N17" s="284"/>
      <c r="O17" s="366" t="str">
        <f t="shared" ref="O17" si="34">IF(OR(M17="",N17="",NOT(ISNUMBER(N17))),"",IF(M17="Low",N17*2,IF(M17="Average",N17*3,IF(M17="High",N17*5))))</f>
        <v/>
      </c>
      <c r="P17" s="273"/>
      <c r="Q17" s="363" t="str">
        <f t="shared" ref="Q17" si="35">IF(P17="","",IF(P17="1 to 3","Low",IF(P17="4 to 9","Average","High")))</f>
        <v/>
      </c>
      <c r="R17" s="278"/>
      <c r="S17" s="366" t="str">
        <f t="shared" ref="S17" si="36">IF(OR(R17="",NOT(ISNUMBER(R17))),"",IF(P17="","",IF(Q17="Low",R17*4,IF(Q17="Average",R17*6,IF(Q17="High",R17*10)))))</f>
        <v/>
      </c>
      <c r="T17" s="293"/>
      <c r="U17" s="363" t="str">
        <f t="shared" ref="U17" si="37">IF(T17="","",IF(T17="1 to 10","Low",IF(T17="11 to 29","Average","High")))</f>
        <v/>
      </c>
      <c r="V17" s="279"/>
      <c r="W17" s="366" t="str">
        <f t="shared" ref="W17" si="38">IF(OR(T17="",V17="",NOT(ISNUMBER(V17))),"",IF(U17="Low",V17*6,IF(U17="Average",V17*8,IF(U17="High",V17*12))))</f>
        <v/>
      </c>
      <c r="X17" s="297"/>
      <c r="Y17" s="294"/>
      <c r="Z17" s="363" t="str">
        <f t="shared" ref="Z17" si="39">IF(Y17="","",IF(Y17="1 to 9","Low",IF(Y17="10 to 15","Average","High")))</f>
        <v/>
      </c>
      <c r="AA17" s="301"/>
      <c r="AB17" s="366" t="str">
        <f t="shared" ref="AB17" si="40">IF(OR(Z17="",NOT(ISNUMBER(AA17))),"",IF(Z17="Low",AA17*2,IF(Z17="Average",AA17*3,IF(Z17="High",AA17*4))))</f>
        <v/>
      </c>
      <c r="AC17" s="306"/>
      <c r="AD17" s="307"/>
      <c r="AE17" s="366" t="str">
        <f t="shared" ref="AE17" si="41">IFERROR(ROUND(IF(AC17="No",AD17/16,IF(AC17="yes",(2+(AD17/16)),"")),1),"")</f>
        <v/>
      </c>
      <c r="AF17" s="311"/>
      <c r="AG17" s="363" t="str">
        <f t="shared" ref="AG17" si="42">IF(AF17="","",IF(AF17="1 to 4","Low",IF(AF17="5 to 15","Average","High")))</f>
        <v/>
      </c>
      <c r="AH17" s="279"/>
      <c r="AI17" s="366" t="str">
        <f t="shared" ref="AI17" si="43">IF(OR(AG17="",NOT(ISNUMBER(AH17))),"",IF(AG17="Low",AH17*3,IF(AG17="Average",AH17*4,IF(AG17="High",AH17*6))))</f>
        <v/>
      </c>
      <c r="AJ17" s="360"/>
      <c r="AK17" s="363" t="str">
        <f t="shared" ref="AK17" si="44">IF(AJ17="","",IF(AJ17="1 to 5","Low",IF(AJ17="6 to 19","Average","High")))</f>
        <v/>
      </c>
      <c r="AL17" s="357"/>
      <c r="AM17" s="366" t="str">
        <f t="shared" ref="AM17" si="45">IF(OR(AK17="",NOT(ISNUMBER(AL17))),"",IF(AK17="Low",AL17*3,IF(AK17="Average",AL17*4,IF(AK17="High",AL17*6))))</f>
        <v/>
      </c>
      <c r="AN17" s="297"/>
      <c r="AO17" s="295"/>
      <c r="AP17" s="264"/>
      <c r="AQ17" s="278"/>
      <c r="AR17" s="366" t="str">
        <f t="shared" ref="AR17" si="46">IF(BN17="","",IF(BN17="BA","TBD",IF(BN17="AA",IF(AP17=2,20,IF(AP17=3,30,IF(AP17&gt;3,40))),IF(BN17="AB",IF(AP17=2,40,IF(AP17=3,60,IF(AP17&gt;3,80))),IF(BN17="AC",IF(AP17=2,10,IF(AP17=3,20,IF(AP17&gt;3,30))))))))</f>
        <v/>
      </c>
      <c r="AS17" s="293"/>
      <c r="AT17" s="269"/>
      <c r="AU17" s="363" t="str">
        <f>IF(OR(AS17="",AT17=""),"",VLOOKUP(BO17,Parameters!$B$75:$C$83,2,FALSE))</f>
        <v/>
      </c>
      <c r="AV17" s="279"/>
      <c r="AW17" s="366" t="str">
        <f t="shared" ref="AW17" si="47">IF(AU17="","",IF(AU17="Low",AV17*6,IF(AU17="Average",AV17*9,IF(AU17="High",AV17*12))))</f>
        <v/>
      </c>
      <c r="AX17" s="269"/>
      <c r="AY17" s="363" t="str">
        <f t="shared" ref="AY17" si="48">IF(AX17="","",IF(AX17="1 to 3","Low",IF(AX17="4 to 9","Average","High")))</f>
        <v/>
      </c>
      <c r="AZ17" s="279"/>
      <c r="BA17" s="366" t="str">
        <f t="shared" si="28"/>
        <v/>
      </c>
      <c r="BB17" s="225"/>
      <c r="BC17" s="331"/>
      <c r="BD17" s="279"/>
      <c r="BE17" s="366" t="str">
        <f t="shared" ref="BE17" si="49">IF(AND(NOT(ISNUMBER(BD17)),NOT(ISNUMBER(BC17))),"",(BC17*3+BD17*4))</f>
        <v/>
      </c>
      <c r="BF17" s="293"/>
      <c r="BG17" s="363" t="str">
        <f t="shared" ref="BG17" si="50">IF(BF17="","",IF(BF17="1 to 5","Low",IF(BF17="6 to 19","Average","High")))</f>
        <v/>
      </c>
      <c r="BH17" s="264"/>
      <c r="BI17" s="279"/>
      <c r="BJ17" s="366" t="str">
        <f t="shared" si="29"/>
        <v/>
      </c>
      <c r="BK17" s="297"/>
      <c r="BL17" s="338"/>
      <c r="BM17" s="342"/>
      <c r="BN17" s="59" t="str">
        <f t="shared" ref="BN17" si="51">IF(AO17="","",IF(AO17="Software Platform",IF(AQ17="Same family","AA",IF(AQ17="Different Family","AB","AC")),IF(AO17="Hardware Platform","BA")))</f>
        <v/>
      </c>
      <c r="BO17" s="57" t="str">
        <f t="shared" ref="BO17" si="52">AT17&amp;AS17</f>
        <v/>
      </c>
      <c r="BP17" s="57"/>
      <c r="BQ17" s="57"/>
    </row>
    <row r="18" spans="1:69" s="58" customFormat="1" ht="16.149999999999999" customHeight="1" x14ac:dyDescent="0.25">
      <c r="A18" s="223">
        <f t="shared" si="19"/>
        <v>11</v>
      </c>
      <c r="B18" s="258" t="s">
        <v>316</v>
      </c>
      <c r="C18" s="348"/>
      <c r="D18" s="274"/>
      <c r="E18" s="363" t="str">
        <f t="shared" ref="E18" si="53">IF(D18="","",(IF(D18="1 to 2","Low",IF(D18="3 to 5","Average","High"))))</f>
        <v/>
      </c>
      <c r="F18" s="279"/>
      <c r="G18" s="366" t="str">
        <f t="shared" ref="G18" si="54">IF(OR(E18="",NOT(ISNUMBER(F18))),"",IF(E18="Low",F18*2,IF(E18="Average",F18*3,IF(E18="High",F18*4))))</f>
        <v/>
      </c>
      <c r="H18" s="274"/>
      <c r="I18" s="274"/>
      <c r="J18" s="273"/>
      <c r="K18" s="363" t="str">
        <f t="shared" ref="K18" si="55">IF(J18="","",IF(J18="0 to 3","Low",IF(J18="4 to 9","Average","High")))</f>
        <v/>
      </c>
      <c r="L18" s="366" t="str">
        <f t="shared" ref="L18" si="56">IF(OR(H18="",K18="",NOT(ISNUMBER(I18))),"",IF(H18="Logical",IF(K18="Low",4*I18,IF(K18="Average",6*I18,IF(K18="High",10*I18))),IF(H18="Mathematical",IF(K18="Low",3*I18,IF(K18="Average",4*I18,IF(K18="High",7*I18,"Error"))))))</f>
        <v/>
      </c>
      <c r="M18" s="274"/>
      <c r="N18" s="284"/>
      <c r="O18" s="366" t="str">
        <f t="shared" ref="O18" si="57">IF(OR(M18="",N18="",NOT(ISNUMBER(N18))),"",IF(M18="Low",N18*2,IF(M18="Average",N18*3,IF(M18="High",N18*5))))</f>
        <v/>
      </c>
      <c r="P18" s="273"/>
      <c r="Q18" s="363" t="str">
        <f t="shared" ref="Q18" si="58">IF(P18="","",IF(P18="1 to 3","Low",IF(P18="4 to 9","Average","High")))</f>
        <v/>
      </c>
      <c r="R18" s="278"/>
      <c r="S18" s="366" t="str">
        <f t="shared" ref="S18" si="59">IF(OR(R18="",NOT(ISNUMBER(R18))),"",IF(P18="","",IF(Q18="Low",R18*4,IF(Q18="Average",R18*6,IF(Q18="High",R18*10)))))</f>
        <v/>
      </c>
      <c r="T18" s="293"/>
      <c r="U18" s="363" t="str">
        <f t="shared" ref="U18" si="60">IF(T18="","",IF(T18="1 to 10","Low",IF(T18="11 to 29","Average","High")))</f>
        <v/>
      </c>
      <c r="V18" s="279"/>
      <c r="W18" s="366" t="str">
        <f t="shared" ref="W18" si="61">IF(OR(T18="",V18="",NOT(ISNUMBER(V18))),"",IF(U18="Low",V18*6,IF(U18="Average",V18*8,IF(U18="High",V18*12))))</f>
        <v/>
      </c>
      <c r="X18" s="297"/>
      <c r="Y18" s="294"/>
      <c r="Z18" s="363" t="str">
        <f t="shared" ref="Z18" si="62">IF(Y18="","",IF(Y18="1 to 9","Low",IF(Y18="10 to 15","Average","High")))</f>
        <v/>
      </c>
      <c r="AA18" s="301"/>
      <c r="AB18" s="366" t="str">
        <f t="shared" ref="AB18" si="63">IF(OR(Z18="",NOT(ISNUMBER(AA18))),"",IF(Z18="Low",AA18*2,IF(Z18="Average",AA18*3,IF(Z18="High",AA18*4))))</f>
        <v/>
      </c>
      <c r="AC18" s="306"/>
      <c r="AD18" s="307"/>
      <c r="AE18" s="366" t="str">
        <f t="shared" ref="AE18" si="64">IFERROR(ROUND(IF(AC18="No",AD18/16,IF(AC18="yes",(2+(AD18/16)),"")),1),"")</f>
        <v/>
      </c>
      <c r="AF18" s="311"/>
      <c r="AG18" s="363" t="str">
        <f t="shared" ref="AG18" si="65">IF(AF18="","",IF(AF18="1 to 4","Low",IF(AF18="5 to 15","Average","High")))</f>
        <v/>
      </c>
      <c r="AH18" s="279"/>
      <c r="AI18" s="366" t="str">
        <f t="shared" ref="AI18" si="66">IF(OR(AG18="",NOT(ISNUMBER(AH18))),"",IF(AG18="Low",AH18*3,IF(AG18="Average",AH18*4,IF(AG18="High",AH18*6))))</f>
        <v/>
      </c>
      <c r="AJ18" s="360"/>
      <c r="AK18" s="363" t="str">
        <f t="shared" ref="AK18" si="67">IF(AJ18="","",IF(AJ18="1 to 5","Low",IF(AJ18="6 to 19","Average","High")))</f>
        <v/>
      </c>
      <c r="AL18" s="357"/>
      <c r="AM18" s="366" t="str">
        <f t="shared" ref="AM18" si="68">IF(OR(AK18="",NOT(ISNUMBER(AL18))),"",IF(AK18="Low",AL18*3,IF(AK18="Average",AL18*4,IF(AK18="High",AL18*6))))</f>
        <v/>
      </c>
      <c r="AN18" s="297"/>
      <c r="AO18" s="295"/>
      <c r="AP18" s="264"/>
      <c r="AQ18" s="278"/>
      <c r="AR18" s="366" t="str">
        <f t="shared" ref="AR18" si="69">IF(BN18="","",IF(BN18="BA","TBD",IF(BN18="AA",IF(AP18=2,20,IF(AP18=3,30,IF(AP18&gt;3,40))),IF(BN18="AB",IF(AP18=2,40,IF(AP18=3,60,IF(AP18&gt;3,80))),IF(BN18="AC",IF(AP18=2,10,IF(AP18=3,20,IF(AP18&gt;3,30))))))))</f>
        <v/>
      </c>
      <c r="AS18" s="293"/>
      <c r="AT18" s="269"/>
      <c r="AU18" s="363" t="str">
        <f>IF(OR(AS18="",AT18=""),"",VLOOKUP(BO18,Parameters!$B$75:$C$83,2,FALSE))</f>
        <v/>
      </c>
      <c r="AV18" s="279"/>
      <c r="AW18" s="366" t="str">
        <f t="shared" ref="AW18" si="70">IF(AU18="","",IF(AU18="Low",AV18*6,IF(AU18="Average",AV18*9,IF(AU18="High",AV18*12))))</f>
        <v/>
      </c>
      <c r="AX18" s="269"/>
      <c r="AY18" s="363" t="str">
        <f t="shared" ref="AY18" si="71">IF(AX18="","",IF(AX18="1 to 3","Low",IF(AX18="4 to 9","Average","High")))</f>
        <v/>
      </c>
      <c r="AZ18" s="279"/>
      <c r="BA18" s="366" t="str">
        <f t="shared" si="28"/>
        <v/>
      </c>
      <c r="BB18" s="225"/>
      <c r="BC18" s="331"/>
      <c r="BD18" s="279"/>
      <c r="BE18" s="366" t="str">
        <f t="shared" ref="BE18" si="72">IF(AND(NOT(ISNUMBER(BD18)),NOT(ISNUMBER(BC18))),"",(BC18*3+BD18*4))</f>
        <v/>
      </c>
      <c r="BF18" s="293"/>
      <c r="BG18" s="363" t="str">
        <f t="shared" ref="BG18" si="73">IF(BF18="","",IF(BF18="1 to 5","Low",IF(BF18="6 to 19","Average","High")))</f>
        <v/>
      </c>
      <c r="BH18" s="264"/>
      <c r="BI18" s="279"/>
      <c r="BJ18" s="366" t="str">
        <f t="shared" si="29"/>
        <v/>
      </c>
      <c r="BK18" s="297"/>
      <c r="BL18" s="338"/>
      <c r="BM18" s="342"/>
      <c r="BN18" s="59" t="str">
        <f t="shared" ref="BN18" si="74">IF(AO18="","",IF(AO18="Software Platform",IF(AQ18="Same family","AA",IF(AQ18="Different Family","AB","AC")),IF(AO18="Hardware Platform","BA")))</f>
        <v/>
      </c>
      <c r="BO18" s="57" t="str">
        <f t="shared" ref="BO18" si="75">AT18&amp;AS18</f>
        <v/>
      </c>
      <c r="BP18" s="57"/>
      <c r="BQ18" s="57"/>
    </row>
    <row r="19" spans="1:69" s="58" customFormat="1" ht="16.149999999999999" customHeight="1" x14ac:dyDescent="0.25">
      <c r="A19" s="223">
        <f t="shared" si="19"/>
        <v>12</v>
      </c>
      <c r="B19" s="258" t="s">
        <v>316</v>
      </c>
      <c r="C19" s="348"/>
      <c r="D19" s="274"/>
      <c r="E19" s="363" t="str">
        <f>IF(D19="","",(IF(D19="1 to 2","Low",IF(D19="3 to 5","Average","High"))))</f>
        <v/>
      </c>
      <c r="F19" s="279"/>
      <c r="G19" s="366" t="str">
        <f>IF(OR(E19="",NOT(ISNUMBER(F19))),"",IF(E19="Low",F19*2,IF(E19="Average",F19*3,IF(E19="High",F19*4))))</f>
        <v/>
      </c>
      <c r="H19" s="274"/>
      <c r="I19" s="274"/>
      <c r="J19" s="273"/>
      <c r="K19" s="363" t="str">
        <f t="shared" si="20"/>
        <v/>
      </c>
      <c r="L19" s="366" t="str">
        <f>IF(OR(H19="",K19="",NOT(ISNUMBER(I19))),"",IF(H19="Logical",IF(K19="Low",4*I19,IF(K19="Average",6*I19,IF(K19="High",10*I19))),IF(H19="Mathematical",IF(K19="Low",3*I19,IF(K19="Average",4*I19,IF(K19="High",7*I19,"Error"))))))</f>
        <v/>
      </c>
      <c r="M19" s="274"/>
      <c r="N19" s="284"/>
      <c r="O19" s="366" t="str">
        <f>IF(OR(M19="",N19="",NOT(ISNUMBER(N19))),"",IF(M19="Low",N19*2,IF(M19="Average",N19*3,IF(M19="High",N19*5))))</f>
        <v/>
      </c>
      <c r="P19" s="273"/>
      <c r="Q19" s="363" t="str">
        <f>IF(P19="","",IF(P19="1 to 3","Low",IF(P19="4 to 9","Average","High")))</f>
        <v/>
      </c>
      <c r="R19" s="278"/>
      <c r="S19" s="366" t="str">
        <f>IF(OR(R19="",NOT(ISNUMBER(R19))),"",IF(P19="","",IF(Q19="Low",R19*4,IF(Q19="Average",R19*6,IF(Q19="High",R19*10)))))</f>
        <v/>
      </c>
      <c r="T19" s="293"/>
      <c r="U19" s="363" t="str">
        <f>IF(T19="","",IF(T19="1 to 10","Low",IF(T19="11 to 29","Average","High")))</f>
        <v/>
      </c>
      <c r="V19" s="279"/>
      <c r="W19" s="366" t="str">
        <f>IF(OR(T19="",V19="",NOT(ISNUMBER(V19))),"",IF(U19="Low",V19*6,IF(U19="Average",V19*8,IF(U19="High",V19*12))))</f>
        <v/>
      </c>
      <c r="X19" s="297"/>
      <c r="Y19" s="294"/>
      <c r="Z19" s="363" t="str">
        <f>IF(Y19="","",IF(Y19="1 to 9","Low",IF(Y19="10 to 15","Average","High")))</f>
        <v/>
      </c>
      <c r="AA19" s="301"/>
      <c r="AB19" s="366" t="str">
        <f>IF(OR(Z19="",NOT(ISNUMBER(AA19))),"",IF(Z19="Low",AA19*2,IF(Z19="Average",AA19*3,IF(Z19="High",AA19*4))))</f>
        <v/>
      </c>
      <c r="AC19" s="306"/>
      <c r="AD19" s="307"/>
      <c r="AE19" s="366" t="str">
        <f t="shared" si="21"/>
        <v/>
      </c>
      <c r="AF19" s="311"/>
      <c r="AG19" s="363" t="str">
        <f>IF(AF19="","",IF(AF19="1 to 4","Low",IF(AF19="5 to 15","Average","High")))</f>
        <v/>
      </c>
      <c r="AH19" s="279"/>
      <c r="AI19" s="366" t="str">
        <f>IF(OR(AG19="",NOT(ISNUMBER(AH19))),"",IF(AG19="Low",AH19*3,IF(AG19="Average",AH19*4,IF(AG19="High",AH19*6))))</f>
        <v/>
      </c>
      <c r="AJ19" s="360"/>
      <c r="AK19" s="363" t="str">
        <f>IF(AJ19="","",IF(AJ19="1 to 5","Low",IF(AJ19="6 to 19","Average","High")))</f>
        <v/>
      </c>
      <c r="AL19" s="357"/>
      <c r="AM19" s="366" t="str">
        <f>IF(OR(AK19="",NOT(ISNUMBER(AL19))),"",IF(AK19="Low",AL19*3,IF(AK19="Average",AL19*4,IF(AK19="High",AL19*6))))</f>
        <v/>
      </c>
      <c r="AN19" s="297"/>
      <c r="AO19" s="295"/>
      <c r="AP19" s="264"/>
      <c r="AQ19" s="278"/>
      <c r="AR19" s="366" t="str">
        <f>IF(BN19="","",IF(BN19="BA","TBD",IF(BN19="AA",IF(AP19=2,20,IF(AP19=3,30,IF(AP19&gt;3,40))),IF(BN19="AB",IF(AP19=2,40,IF(AP19=3,60,IF(AP19&gt;3,80))),IF(BN19="AC",IF(AP19=2,10,IF(AP19=3,20,IF(AP19&gt;3,30))))))))</f>
        <v/>
      </c>
      <c r="AS19" s="293"/>
      <c r="AT19" s="269"/>
      <c r="AU19" s="363" t="str">
        <f>IF(OR(AS19="",AT19=""),"",VLOOKUP(BO19,Parameters!$B$75:$C$83,2,FALSE))</f>
        <v/>
      </c>
      <c r="AV19" s="279"/>
      <c r="AW19" s="366" t="str">
        <f>IF(AU19="","",IF(AU19="Low",AV19*6,IF(AU19="Average",AV19*9,IF(AU19="High",AV19*12))))</f>
        <v/>
      </c>
      <c r="AX19" s="269"/>
      <c r="AY19" s="363" t="str">
        <f>IF(AX19="","",IF(AX19="1 to 3","Low",IF(AX19="4 to 9","Average","High")))</f>
        <v/>
      </c>
      <c r="AZ19" s="279"/>
      <c r="BA19" s="366" t="str">
        <f t="shared" si="28"/>
        <v/>
      </c>
      <c r="BB19" s="225"/>
      <c r="BC19" s="331"/>
      <c r="BD19" s="279"/>
      <c r="BE19" s="366" t="str">
        <f>IF(AND(NOT(ISNUMBER(BD19)),NOT(ISNUMBER(BC19))),"",(BC19*3+BD19*4))</f>
        <v/>
      </c>
      <c r="BF19" s="293"/>
      <c r="BG19" s="363" t="str">
        <f t="shared" si="26"/>
        <v/>
      </c>
      <c r="BH19" s="264"/>
      <c r="BI19" s="279"/>
      <c r="BJ19" s="366" t="str">
        <f t="shared" si="29"/>
        <v/>
      </c>
      <c r="BK19" s="297"/>
      <c r="BL19" s="338"/>
      <c r="BM19" s="342"/>
      <c r="BN19" s="59" t="str">
        <f>IF(AO19="","",IF(AO19="Software Platform",IF(AQ19="Same family","AA",IF(AQ19="Different Family","AB","AC")),IF(AO19="Hardware Platform","BA")))</f>
        <v/>
      </c>
      <c r="BO19" s="57" t="str">
        <f t="shared" si="18"/>
        <v/>
      </c>
      <c r="BP19" s="57"/>
      <c r="BQ19" s="57"/>
    </row>
    <row r="20" spans="1:69" s="58" customFormat="1" ht="16.149999999999999" customHeight="1" x14ac:dyDescent="0.25">
      <c r="A20" s="223">
        <f t="shared" si="19"/>
        <v>13</v>
      </c>
      <c r="B20" s="258" t="s">
        <v>316</v>
      </c>
      <c r="C20" s="348"/>
      <c r="D20" s="274"/>
      <c r="E20" s="363" t="str">
        <f t="shared" si="3"/>
        <v/>
      </c>
      <c r="F20" s="279"/>
      <c r="G20" s="366" t="str">
        <f t="shared" si="4"/>
        <v/>
      </c>
      <c r="H20" s="274"/>
      <c r="I20" s="274"/>
      <c r="J20" s="273"/>
      <c r="K20" s="363" t="str">
        <f t="shared" si="20"/>
        <v/>
      </c>
      <c r="L20" s="366" t="str">
        <f t="shared" si="5"/>
        <v/>
      </c>
      <c r="M20" s="274"/>
      <c r="N20" s="284"/>
      <c r="O20" s="366" t="str">
        <f t="shared" si="6"/>
        <v/>
      </c>
      <c r="P20" s="273"/>
      <c r="Q20" s="363" t="str">
        <f t="shared" si="7"/>
        <v/>
      </c>
      <c r="R20" s="278"/>
      <c r="S20" s="366" t="str">
        <f t="shared" si="8"/>
        <v/>
      </c>
      <c r="T20" s="293"/>
      <c r="U20" s="363" t="str">
        <f t="shared" si="1"/>
        <v/>
      </c>
      <c r="V20" s="279"/>
      <c r="W20" s="366" t="str">
        <f t="shared" si="9"/>
        <v/>
      </c>
      <c r="X20" s="297"/>
      <c r="Y20" s="294"/>
      <c r="Z20" s="363" t="str">
        <f t="shared" si="10"/>
        <v/>
      </c>
      <c r="AA20" s="301"/>
      <c r="AB20" s="366" t="str">
        <f t="shared" si="11"/>
        <v/>
      </c>
      <c r="AC20" s="306"/>
      <c r="AD20" s="307"/>
      <c r="AE20" s="366" t="str">
        <f t="shared" si="21"/>
        <v/>
      </c>
      <c r="AF20" s="311"/>
      <c r="AG20" s="363" t="str">
        <f t="shared" si="12"/>
        <v/>
      </c>
      <c r="AH20" s="279"/>
      <c r="AI20" s="366" t="str">
        <f t="shared" si="13"/>
        <v/>
      </c>
      <c r="AJ20" s="360"/>
      <c r="AK20" s="363" t="str">
        <f t="shared" si="22"/>
        <v/>
      </c>
      <c r="AL20" s="357"/>
      <c r="AM20" s="366" t="str">
        <f t="shared" si="14"/>
        <v/>
      </c>
      <c r="AN20" s="297"/>
      <c r="AO20" s="295"/>
      <c r="AP20" s="264"/>
      <c r="AQ20" s="278"/>
      <c r="AR20" s="366" t="str">
        <f t="shared" si="15"/>
        <v/>
      </c>
      <c r="AS20" s="293"/>
      <c r="AT20" s="269"/>
      <c r="AU20" s="363" t="str">
        <f>IF(OR(AS20="",AT20=""),"",VLOOKUP(BO20,Parameters!$B$75:$C$83,2,FALSE))</f>
        <v/>
      </c>
      <c r="AV20" s="279"/>
      <c r="AW20" s="366" t="str">
        <f t="shared" si="16"/>
        <v/>
      </c>
      <c r="AX20" s="269"/>
      <c r="AY20" s="363" t="str">
        <f t="shared" si="23"/>
        <v/>
      </c>
      <c r="AZ20" s="279"/>
      <c r="BA20" s="366" t="str">
        <f t="shared" si="28"/>
        <v/>
      </c>
      <c r="BB20" s="225"/>
      <c r="BC20" s="331"/>
      <c r="BD20" s="279"/>
      <c r="BE20" s="366" t="str">
        <f t="shared" si="25"/>
        <v/>
      </c>
      <c r="BF20" s="293"/>
      <c r="BG20" s="363" t="str">
        <f t="shared" si="26"/>
        <v/>
      </c>
      <c r="BH20" s="264"/>
      <c r="BI20" s="279"/>
      <c r="BJ20" s="366" t="str">
        <f t="shared" si="29"/>
        <v/>
      </c>
      <c r="BK20" s="297"/>
      <c r="BL20" s="338"/>
      <c r="BM20" s="342"/>
      <c r="BN20" s="59" t="str">
        <f t="shared" si="17"/>
        <v/>
      </c>
      <c r="BO20" s="57" t="str">
        <f t="shared" si="18"/>
        <v/>
      </c>
      <c r="BP20" s="57"/>
      <c r="BQ20" s="57"/>
    </row>
    <row r="21" spans="1:69" s="58" customFormat="1" ht="16.149999999999999" customHeight="1" x14ac:dyDescent="0.25">
      <c r="A21" s="223">
        <f t="shared" si="19"/>
        <v>14</v>
      </c>
      <c r="B21" s="258" t="s">
        <v>316</v>
      </c>
      <c r="C21" s="348"/>
      <c r="D21" s="274"/>
      <c r="E21" s="363" t="str">
        <f t="shared" si="3"/>
        <v/>
      </c>
      <c r="F21" s="279"/>
      <c r="G21" s="366" t="str">
        <f t="shared" si="4"/>
        <v/>
      </c>
      <c r="H21" s="274"/>
      <c r="I21" s="274"/>
      <c r="J21" s="273"/>
      <c r="K21" s="363" t="str">
        <f t="shared" si="20"/>
        <v/>
      </c>
      <c r="L21" s="366" t="str">
        <f t="shared" si="5"/>
        <v/>
      </c>
      <c r="M21" s="274"/>
      <c r="N21" s="284"/>
      <c r="O21" s="366" t="str">
        <f t="shared" si="6"/>
        <v/>
      </c>
      <c r="P21" s="273"/>
      <c r="Q21" s="363" t="str">
        <f t="shared" si="7"/>
        <v/>
      </c>
      <c r="R21" s="278"/>
      <c r="S21" s="366" t="str">
        <f t="shared" si="8"/>
        <v/>
      </c>
      <c r="T21" s="293"/>
      <c r="U21" s="363" t="str">
        <f t="shared" si="1"/>
        <v/>
      </c>
      <c r="V21" s="279"/>
      <c r="W21" s="366" t="str">
        <f t="shared" si="9"/>
        <v/>
      </c>
      <c r="X21" s="297"/>
      <c r="Y21" s="294"/>
      <c r="Z21" s="363" t="str">
        <f t="shared" si="10"/>
        <v/>
      </c>
      <c r="AA21" s="301"/>
      <c r="AB21" s="366" t="str">
        <f t="shared" si="11"/>
        <v/>
      </c>
      <c r="AC21" s="306"/>
      <c r="AD21" s="307"/>
      <c r="AE21" s="366" t="str">
        <f t="shared" si="21"/>
        <v/>
      </c>
      <c r="AF21" s="311"/>
      <c r="AG21" s="363" t="str">
        <f t="shared" si="12"/>
        <v/>
      </c>
      <c r="AH21" s="279"/>
      <c r="AI21" s="366" t="str">
        <f>IF(OR(AG21="",NOT(ISNUMBER(AH21))),"",IF(AG21="Low",AH21*3,IF(AG21="Average",AH21*4,IF(AG21="High",AH21*6))))</f>
        <v/>
      </c>
      <c r="AJ21" s="360"/>
      <c r="AK21" s="363" t="str">
        <f t="shared" si="22"/>
        <v/>
      </c>
      <c r="AL21" s="357"/>
      <c r="AM21" s="366" t="str">
        <f t="shared" si="14"/>
        <v/>
      </c>
      <c r="AN21" s="297"/>
      <c r="AO21" s="295"/>
      <c r="AP21" s="264"/>
      <c r="AQ21" s="278"/>
      <c r="AR21" s="366" t="str">
        <f t="shared" si="15"/>
        <v/>
      </c>
      <c r="AS21" s="293"/>
      <c r="AT21" s="269"/>
      <c r="AU21" s="363" t="str">
        <f>IF(OR(AS21="",AT21=""),"",VLOOKUP(BO21,Parameters!$B$75:$C$83,2,FALSE))</f>
        <v/>
      </c>
      <c r="AV21" s="279"/>
      <c r="AW21" s="366" t="str">
        <f t="shared" si="16"/>
        <v/>
      </c>
      <c r="AX21" s="269"/>
      <c r="AY21" s="363" t="str">
        <f t="shared" si="23"/>
        <v/>
      </c>
      <c r="AZ21" s="279"/>
      <c r="BA21" s="366" t="str">
        <f t="shared" si="28"/>
        <v/>
      </c>
      <c r="BB21" s="225"/>
      <c r="BC21" s="331"/>
      <c r="BD21" s="279"/>
      <c r="BE21" s="366" t="str">
        <f t="shared" si="25"/>
        <v/>
      </c>
      <c r="BF21" s="269"/>
      <c r="BG21" s="363" t="str">
        <f t="shared" si="26"/>
        <v/>
      </c>
      <c r="BH21" s="264"/>
      <c r="BI21" s="279"/>
      <c r="BJ21" s="366" t="str">
        <f t="shared" si="29"/>
        <v/>
      </c>
      <c r="BK21" s="297"/>
      <c r="BL21" s="338"/>
      <c r="BM21" s="342"/>
      <c r="BN21" s="59" t="str">
        <f t="shared" si="17"/>
        <v/>
      </c>
      <c r="BO21" s="57" t="str">
        <f t="shared" si="18"/>
        <v/>
      </c>
      <c r="BP21" s="57"/>
      <c r="BQ21" s="57"/>
    </row>
    <row r="22" spans="1:69" s="58" customFormat="1" ht="16.149999999999999" customHeight="1" x14ac:dyDescent="0.25">
      <c r="A22" s="223">
        <f t="shared" si="19"/>
        <v>15</v>
      </c>
      <c r="B22" s="258" t="s">
        <v>316</v>
      </c>
      <c r="C22" s="348"/>
      <c r="D22" s="274"/>
      <c r="E22" s="363" t="str">
        <f t="shared" si="3"/>
        <v/>
      </c>
      <c r="F22" s="279"/>
      <c r="G22" s="366" t="str">
        <f t="shared" si="4"/>
        <v/>
      </c>
      <c r="H22" s="274"/>
      <c r="I22" s="274"/>
      <c r="J22" s="273"/>
      <c r="K22" s="363" t="str">
        <f t="shared" si="20"/>
        <v/>
      </c>
      <c r="L22" s="366" t="str">
        <f t="shared" si="5"/>
        <v/>
      </c>
      <c r="M22" s="274"/>
      <c r="N22" s="284"/>
      <c r="O22" s="366" t="str">
        <f t="shared" si="6"/>
        <v/>
      </c>
      <c r="P22" s="273"/>
      <c r="Q22" s="363" t="str">
        <f t="shared" si="7"/>
        <v/>
      </c>
      <c r="R22" s="278"/>
      <c r="S22" s="366" t="str">
        <f t="shared" si="8"/>
        <v/>
      </c>
      <c r="T22" s="293"/>
      <c r="U22" s="363" t="str">
        <f t="shared" si="1"/>
        <v/>
      </c>
      <c r="V22" s="279"/>
      <c r="W22" s="366" t="str">
        <f t="shared" si="9"/>
        <v/>
      </c>
      <c r="X22" s="297"/>
      <c r="Y22" s="294"/>
      <c r="Z22" s="363" t="str">
        <f t="shared" si="10"/>
        <v/>
      </c>
      <c r="AA22" s="301"/>
      <c r="AB22" s="366" t="str">
        <f t="shared" si="11"/>
        <v/>
      </c>
      <c r="AC22" s="304"/>
      <c r="AD22" s="307"/>
      <c r="AE22" s="366" t="str">
        <f t="shared" si="21"/>
        <v/>
      </c>
      <c r="AF22" s="311"/>
      <c r="AG22" s="363" t="str">
        <f t="shared" si="12"/>
        <v/>
      </c>
      <c r="AH22" s="279"/>
      <c r="AI22" s="366" t="str">
        <f t="shared" ref="AI22:AI47" si="76">IF(OR(AG22="",NOT(ISNUMBER(AH22))),"",IF(AG22="Low",AH22*3,IF(AG22="Average",AH22*4,IF(AG22="High",AH22*6))))</f>
        <v/>
      </c>
      <c r="AJ22" s="360"/>
      <c r="AK22" s="363" t="str">
        <f t="shared" si="22"/>
        <v/>
      </c>
      <c r="AL22" s="357"/>
      <c r="AM22" s="366" t="str">
        <f t="shared" si="14"/>
        <v/>
      </c>
      <c r="AN22" s="297"/>
      <c r="AO22" s="295"/>
      <c r="AP22" s="264"/>
      <c r="AQ22" s="278"/>
      <c r="AR22" s="366" t="str">
        <f t="shared" si="15"/>
        <v/>
      </c>
      <c r="AS22" s="269"/>
      <c r="AT22" s="269"/>
      <c r="AU22" s="363" t="str">
        <f>IF(OR(AS22="",AT22=""),"",VLOOKUP(BO22,Parameters!$B$75:$C$83,2,FALSE))</f>
        <v/>
      </c>
      <c r="AV22" s="279"/>
      <c r="AW22" s="366" t="str">
        <f t="shared" si="16"/>
        <v/>
      </c>
      <c r="AX22" s="269"/>
      <c r="AY22" s="363" t="str">
        <f t="shared" si="23"/>
        <v/>
      </c>
      <c r="AZ22" s="279"/>
      <c r="BA22" s="366" t="str">
        <f t="shared" si="24"/>
        <v/>
      </c>
      <c r="BB22" s="225"/>
      <c r="BC22" s="331"/>
      <c r="BD22" s="279"/>
      <c r="BE22" s="366" t="str">
        <f t="shared" si="25"/>
        <v/>
      </c>
      <c r="BF22" s="269"/>
      <c r="BG22" s="363" t="str">
        <f t="shared" si="26"/>
        <v/>
      </c>
      <c r="BH22" s="264"/>
      <c r="BI22" s="279"/>
      <c r="BJ22" s="366" t="str">
        <f t="shared" si="27"/>
        <v/>
      </c>
      <c r="BK22" s="297"/>
      <c r="BL22" s="338"/>
      <c r="BM22" s="342"/>
      <c r="BN22" s="59" t="str">
        <f t="shared" si="17"/>
        <v/>
      </c>
      <c r="BO22" s="57" t="str">
        <f t="shared" si="18"/>
        <v/>
      </c>
      <c r="BP22" s="57"/>
      <c r="BQ22" s="57"/>
    </row>
    <row r="23" spans="1:69" s="58" customFormat="1" ht="16.149999999999999" customHeight="1" x14ac:dyDescent="0.25">
      <c r="A23" s="223">
        <f t="shared" si="19"/>
        <v>16</v>
      </c>
      <c r="B23" s="258" t="s">
        <v>316</v>
      </c>
      <c r="C23" s="348"/>
      <c r="D23" s="274"/>
      <c r="E23" s="363" t="str">
        <f t="shared" si="3"/>
        <v/>
      </c>
      <c r="F23" s="279"/>
      <c r="G23" s="366" t="str">
        <f t="shared" si="4"/>
        <v/>
      </c>
      <c r="H23" s="274"/>
      <c r="I23" s="274"/>
      <c r="J23" s="273"/>
      <c r="K23" s="363" t="str">
        <f t="shared" si="20"/>
        <v/>
      </c>
      <c r="L23" s="366" t="str">
        <f t="shared" si="5"/>
        <v/>
      </c>
      <c r="M23" s="274"/>
      <c r="N23" s="284"/>
      <c r="O23" s="366" t="str">
        <f t="shared" si="6"/>
        <v/>
      </c>
      <c r="P23" s="273"/>
      <c r="Q23" s="363" t="str">
        <f t="shared" si="7"/>
        <v/>
      </c>
      <c r="R23" s="279"/>
      <c r="S23" s="366" t="str">
        <f t="shared" si="8"/>
        <v/>
      </c>
      <c r="T23" s="293"/>
      <c r="U23" s="363" t="str">
        <f t="shared" si="1"/>
        <v/>
      </c>
      <c r="V23" s="279"/>
      <c r="W23" s="366" t="str">
        <f t="shared" si="9"/>
        <v/>
      </c>
      <c r="X23" s="297"/>
      <c r="Y23" s="294"/>
      <c r="Z23" s="363" t="str">
        <f t="shared" si="10"/>
        <v/>
      </c>
      <c r="AA23" s="301"/>
      <c r="AB23" s="366" t="str">
        <f t="shared" si="11"/>
        <v/>
      </c>
      <c r="AC23" s="304"/>
      <c r="AD23" s="307"/>
      <c r="AE23" s="366" t="str">
        <f t="shared" si="21"/>
        <v/>
      </c>
      <c r="AF23" s="311"/>
      <c r="AG23" s="363" t="str">
        <f t="shared" si="12"/>
        <v/>
      </c>
      <c r="AH23" s="279"/>
      <c r="AI23" s="366" t="str">
        <f t="shared" si="76"/>
        <v/>
      </c>
      <c r="AJ23" s="360"/>
      <c r="AK23" s="363" t="str">
        <f t="shared" si="22"/>
        <v/>
      </c>
      <c r="AL23" s="357"/>
      <c r="AM23" s="366" t="str">
        <f t="shared" si="14"/>
        <v/>
      </c>
      <c r="AN23" s="297"/>
      <c r="AO23" s="295"/>
      <c r="AP23" s="264"/>
      <c r="AQ23" s="278"/>
      <c r="AR23" s="366" t="str">
        <f t="shared" si="15"/>
        <v/>
      </c>
      <c r="AS23" s="269"/>
      <c r="AT23" s="269"/>
      <c r="AU23" s="363" t="str">
        <f>IF(OR(AS23="",AT23=""),"",VLOOKUP(BO23,Parameters!$B$75:$C$83,2,FALSE))</f>
        <v/>
      </c>
      <c r="AV23" s="279"/>
      <c r="AW23" s="366" t="str">
        <f t="shared" si="16"/>
        <v/>
      </c>
      <c r="AX23" s="269"/>
      <c r="AY23" s="363" t="str">
        <f t="shared" si="23"/>
        <v/>
      </c>
      <c r="AZ23" s="279"/>
      <c r="BA23" s="366" t="str">
        <f t="shared" si="24"/>
        <v/>
      </c>
      <c r="BB23" s="225"/>
      <c r="BC23" s="331"/>
      <c r="BD23" s="279"/>
      <c r="BE23" s="366" t="str">
        <f t="shared" si="25"/>
        <v/>
      </c>
      <c r="BF23" s="269"/>
      <c r="BG23" s="363" t="str">
        <f t="shared" si="26"/>
        <v/>
      </c>
      <c r="BH23" s="264"/>
      <c r="BI23" s="279"/>
      <c r="BJ23" s="366" t="str">
        <f t="shared" si="27"/>
        <v/>
      </c>
      <c r="BK23" s="297"/>
      <c r="BL23" s="338"/>
      <c r="BM23" s="342"/>
      <c r="BN23" s="59" t="str">
        <f t="shared" si="17"/>
        <v/>
      </c>
      <c r="BO23" s="57" t="str">
        <f t="shared" si="18"/>
        <v/>
      </c>
      <c r="BP23" s="57"/>
      <c r="BQ23" s="57"/>
    </row>
    <row r="24" spans="1:69" s="58" customFormat="1" ht="16.149999999999999" customHeight="1" x14ac:dyDescent="0.25">
      <c r="A24" s="223">
        <f t="shared" si="19"/>
        <v>17</v>
      </c>
      <c r="B24" s="258" t="s">
        <v>316</v>
      </c>
      <c r="C24" s="348"/>
      <c r="D24" s="274"/>
      <c r="E24" s="363" t="str">
        <f t="shared" si="3"/>
        <v/>
      </c>
      <c r="F24" s="279"/>
      <c r="G24" s="367" t="str">
        <f t="shared" si="4"/>
        <v/>
      </c>
      <c r="H24" s="274"/>
      <c r="I24" s="274"/>
      <c r="J24" s="273"/>
      <c r="K24" s="363" t="str">
        <f t="shared" si="20"/>
        <v/>
      </c>
      <c r="L24" s="366" t="str">
        <f t="shared" si="5"/>
        <v/>
      </c>
      <c r="M24" s="274"/>
      <c r="N24" s="284"/>
      <c r="O24" s="366" t="str">
        <f t="shared" si="6"/>
        <v/>
      </c>
      <c r="P24" s="273"/>
      <c r="Q24" s="363" t="str">
        <f t="shared" si="7"/>
        <v/>
      </c>
      <c r="R24" s="278"/>
      <c r="S24" s="366" t="str">
        <f t="shared" si="8"/>
        <v/>
      </c>
      <c r="T24" s="293"/>
      <c r="U24" s="363" t="str">
        <f t="shared" si="1"/>
        <v/>
      </c>
      <c r="V24" s="279"/>
      <c r="W24" s="366" t="str">
        <f t="shared" si="9"/>
        <v/>
      </c>
      <c r="X24" s="297"/>
      <c r="Y24" s="294"/>
      <c r="Z24" s="363" t="str">
        <f t="shared" si="10"/>
        <v/>
      </c>
      <c r="AA24" s="301"/>
      <c r="AB24" s="366" t="str">
        <f t="shared" si="11"/>
        <v/>
      </c>
      <c r="AC24" s="305"/>
      <c r="AD24" s="307"/>
      <c r="AE24" s="366" t="str">
        <f t="shared" si="21"/>
        <v/>
      </c>
      <c r="AF24" s="311"/>
      <c r="AG24" s="363" t="str">
        <f t="shared" si="12"/>
        <v/>
      </c>
      <c r="AH24" s="279"/>
      <c r="AI24" s="366" t="str">
        <f t="shared" si="76"/>
        <v/>
      </c>
      <c r="AJ24" s="360"/>
      <c r="AK24" s="363" t="str">
        <f t="shared" si="22"/>
        <v/>
      </c>
      <c r="AL24" s="357"/>
      <c r="AM24" s="366" t="str">
        <f t="shared" si="14"/>
        <v/>
      </c>
      <c r="AN24" s="297"/>
      <c r="AO24" s="295"/>
      <c r="AP24" s="264"/>
      <c r="AQ24" s="278"/>
      <c r="AR24" s="366" t="str">
        <f t="shared" si="15"/>
        <v/>
      </c>
      <c r="AS24" s="269"/>
      <c r="AT24" s="269"/>
      <c r="AU24" s="363" t="str">
        <f>IF(OR(AS24="",AT24=""),"",VLOOKUP(BO24,Parameters!$B$75:$C$83,2,FALSE))</f>
        <v/>
      </c>
      <c r="AV24" s="279"/>
      <c r="AW24" s="366" t="str">
        <f t="shared" si="16"/>
        <v/>
      </c>
      <c r="AX24" s="269"/>
      <c r="AY24" s="363" t="str">
        <f t="shared" si="23"/>
        <v/>
      </c>
      <c r="AZ24" s="279"/>
      <c r="BA24" s="366" t="str">
        <f t="shared" si="24"/>
        <v/>
      </c>
      <c r="BB24" s="225"/>
      <c r="BC24" s="331"/>
      <c r="BD24" s="279"/>
      <c r="BE24" s="366" t="str">
        <f t="shared" si="25"/>
        <v/>
      </c>
      <c r="BF24" s="269"/>
      <c r="BG24" s="363" t="str">
        <f t="shared" si="26"/>
        <v/>
      </c>
      <c r="BH24" s="264"/>
      <c r="BI24" s="279"/>
      <c r="BJ24" s="366" t="str">
        <f t="shared" si="27"/>
        <v/>
      </c>
      <c r="BK24" s="297"/>
      <c r="BL24" s="338"/>
      <c r="BM24" s="342"/>
      <c r="BN24" s="59" t="str">
        <f t="shared" si="17"/>
        <v/>
      </c>
      <c r="BO24" s="57" t="str">
        <f t="shared" si="18"/>
        <v/>
      </c>
      <c r="BP24" s="57"/>
      <c r="BQ24" s="57"/>
    </row>
    <row r="25" spans="1:69" s="58" customFormat="1" ht="16.149999999999999" customHeight="1" x14ac:dyDescent="0.25">
      <c r="A25" s="223">
        <f t="shared" si="19"/>
        <v>18</v>
      </c>
      <c r="B25" s="258" t="s">
        <v>316</v>
      </c>
      <c r="C25" s="348"/>
      <c r="D25" s="274"/>
      <c r="E25" s="363" t="str">
        <f t="shared" si="3"/>
        <v/>
      </c>
      <c r="F25" s="279"/>
      <c r="G25" s="366" t="str">
        <f t="shared" si="4"/>
        <v/>
      </c>
      <c r="H25" s="274"/>
      <c r="I25" s="274"/>
      <c r="J25" s="273"/>
      <c r="K25" s="363" t="str">
        <f t="shared" si="20"/>
        <v/>
      </c>
      <c r="L25" s="366" t="str">
        <f t="shared" si="5"/>
        <v/>
      </c>
      <c r="M25" s="274"/>
      <c r="N25" s="284"/>
      <c r="O25" s="366" t="str">
        <f t="shared" si="6"/>
        <v/>
      </c>
      <c r="P25" s="273"/>
      <c r="Q25" s="363" t="str">
        <f t="shared" si="7"/>
        <v/>
      </c>
      <c r="R25" s="278"/>
      <c r="S25" s="366" t="str">
        <f t="shared" si="8"/>
        <v/>
      </c>
      <c r="T25" s="293"/>
      <c r="U25" s="363" t="str">
        <f t="shared" si="1"/>
        <v/>
      </c>
      <c r="V25" s="279"/>
      <c r="W25" s="366" t="str">
        <f t="shared" si="9"/>
        <v/>
      </c>
      <c r="X25" s="297"/>
      <c r="Y25" s="294"/>
      <c r="Z25" s="363" t="str">
        <f t="shared" si="10"/>
        <v/>
      </c>
      <c r="AA25" s="301"/>
      <c r="AB25" s="366" t="str">
        <f t="shared" si="11"/>
        <v/>
      </c>
      <c r="AC25" s="304"/>
      <c r="AD25" s="307"/>
      <c r="AE25" s="366" t="str">
        <f t="shared" si="21"/>
        <v/>
      </c>
      <c r="AF25" s="311"/>
      <c r="AG25" s="363" t="str">
        <f t="shared" si="12"/>
        <v/>
      </c>
      <c r="AH25" s="279"/>
      <c r="AI25" s="366" t="str">
        <f t="shared" si="76"/>
        <v/>
      </c>
      <c r="AJ25" s="360"/>
      <c r="AK25" s="363" t="str">
        <f t="shared" si="22"/>
        <v/>
      </c>
      <c r="AL25" s="357"/>
      <c r="AM25" s="366" t="str">
        <f t="shared" si="14"/>
        <v/>
      </c>
      <c r="AN25" s="297"/>
      <c r="AO25" s="295"/>
      <c r="AP25" s="264"/>
      <c r="AQ25" s="278"/>
      <c r="AR25" s="366" t="str">
        <f t="shared" si="15"/>
        <v/>
      </c>
      <c r="AS25" s="269"/>
      <c r="AT25" s="269"/>
      <c r="AU25" s="363" t="str">
        <f>IF(OR(AS25="",AT25=""),"",VLOOKUP(BO25,Parameters!$B$75:$C$83,2,FALSE))</f>
        <v/>
      </c>
      <c r="AV25" s="279"/>
      <c r="AW25" s="366" t="str">
        <f t="shared" si="16"/>
        <v/>
      </c>
      <c r="AX25" s="269"/>
      <c r="AY25" s="363" t="str">
        <f t="shared" si="23"/>
        <v/>
      </c>
      <c r="AZ25" s="279"/>
      <c r="BA25" s="366" t="str">
        <f t="shared" si="24"/>
        <v/>
      </c>
      <c r="BB25" s="225"/>
      <c r="BC25" s="331"/>
      <c r="BD25" s="279"/>
      <c r="BE25" s="366" t="str">
        <f t="shared" si="25"/>
        <v/>
      </c>
      <c r="BF25" s="269"/>
      <c r="BG25" s="363" t="str">
        <f t="shared" si="26"/>
        <v/>
      </c>
      <c r="BH25" s="264"/>
      <c r="BI25" s="279"/>
      <c r="BJ25" s="366" t="str">
        <f t="shared" si="27"/>
        <v/>
      </c>
      <c r="BK25" s="297"/>
      <c r="BL25" s="338"/>
      <c r="BM25" s="342"/>
      <c r="BN25" s="59" t="str">
        <f t="shared" si="17"/>
        <v/>
      </c>
      <c r="BO25" s="57" t="str">
        <f t="shared" si="18"/>
        <v/>
      </c>
      <c r="BP25" s="57"/>
      <c r="BQ25" s="57"/>
    </row>
    <row r="26" spans="1:69" s="58" customFormat="1" ht="16.149999999999999" customHeight="1" x14ac:dyDescent="0.25">
      <c r="A26" s="223">
        <f t="shared" si="19"/>
        <v>19</v>
      </c>
      <c r="B26" s="258" t="s">
        <v>316</v>
      </c>
      <c r="C26" s="348"/>
      <c r="D26" s="274"/>
      <c r="E26" s="363" t="str">
        <f t="shared" si="3"/>
        <v/>
      </c>
      <c r="F26" s="279"/>
      <c r="G26" s="366" t="str">
        <f t="shared" si="4"/>
        <v/>
      </c>
      <c r="H26" s="274"/>
      <c r="I26" s="274"/>
      <c r="J26" s="273"/>
      <c r="K26" s="363" t="str">
        <f t="shared" si="20"/>
        <v/>
      </c>
      <c r="L26" s="366" t="str">
        <f t="shared" si="5"/>
        <v/>
      </c>
      <c r="M26" s="274"/>
      <c r="N26" s="284"/>
      <c r="O26" s="366" t="str">
        <f t="shared" si="6"/>
        <v/>
      </c>
      <c r="P26" s="273"/>
      <c r="Q26" s="363" t="str">
        <f t="shared" si="7"/>
        <v/>
      </c>
      <c r="R26" s="278"/>
      <c r="S26" s="366" t="str">
        <f t="shared" si="8"/>
        <v/>
      </c>
      <c r="T26" s="293"/>
      <c r="U26" s="363" t="str">
        <f t="shared" si="1"/>
        <v/>
      </c>
      <c r="V26" s="279"/>
      <c r="W26" s="366" t="str">
        <f t="shared" si="9"/>
        <v/>
      </c>
      <c r="X26" s="297"/>
      <c r="Y26" s="294"/>
      <c r="Z26" s="363" t="str">
        <f t="shared" si="10"/>
        <v/>
      </c>
      <c r="AA26" s="301"/>
      <c r="AB26" s="366" t="str">
        <f t="shared" si="11"/>
        <v/>
      </c>
      <c r="AC26" s="304"/>
      <c r="AD26" s="307"/>
      <c r="AE26" s="366" t="str">
        <f t="shared" si="21"/>
        <v/>
      </c>
      <c r="AF26" s="311"/>
      <c r="AG26" s="363" t="str">
        <f t="shared" si="12"/>
        <v/>
      </c>
      <c r="AH26" s="279"/>
      <c r="AI26" s="366" t="str">
        <f t="shared" si="76"/>
        <v/>
      </c>
      <c r="AJ26" s="360"/>
      <c r="AK26" s="363" t="str">
        <f t="shared" si="22"/>
        <v/>
      </c>
      <c r="AL26" s="357"/>
      <c r="AM26" s="366" t="str">
        <f t="shared" si="14"/>
        <v/>
      </c>
      <c r="AN26" s="297"/>
      <c r="AO26" s="295"/>
      <c r="AP26" s="264"/>
      <c r="AQ26" s="278"/>
      <c r="AR26" s="366" t="str">
        <f t="shared" si="15"/>
        <v/>
      </c>
      <c r="AS26" s="269"/>
      <c r="AT26" s="269"/>
      <c r="AU26" s="363" t="str">
        <f>IF(OR(AS26="",AT26=""),"",VLOOKUP(BO26,Parameters!$B$75:$C$83,2,FALSE))</f>
        <v/>
      </c>
      <c r="AV26" s="279"/>
      <c r="AW26" s="366" t="str">
        <f t="shared" si="16"/>
        <v/>
      </c>
      <c r="AX26" s="269"/>
      <c r="AY26" s="363" t="str">
        <f t="shared" si="23"/>
        <v/>
      </c>
      <c r="AZ26" s="279"/>
      <c r="BA26" s="366" t="str">
        <f t="shared" si="24"/>
        <v/>
      </c>
      <c r="BB26" s="225"/>
      <c r="BC26" s="331"/>
      <c r="BD26" s="279"/>
      <c r="BE26" s="366" t="str">
        <f t="shared" si="25"/>
        <v/>
      </c>
      <c r="BF26" s="269"/>
      <c r="BG26" s="363" t="str">
        <f t="shared" si="26"/>
        <v/>
      </c>
      <c r="BH26" s="264"/>
      <c r="BI26" s="279"/>
      <c r="BJ26" s="366" t="str">
        <f t="shared" si="27"/>
        <v/>
      </c>
      <c r="BK26" s="297"/>
      <c r="BL26" s="338"/>
      <c r="BM26" s="342"/>
      <c r="BN26" s="59" t="str">
        <f t="shared" si="17"/>
        <v/>
      </c>
      <c r="BO26" s="57" t="str">
        <f t="shared" si="18"/>
        <v/>
      </c>
      <c r="BP26" s="57"/>
      <c r="BQ26" s="57"/>
    </row>
    <row r="27" spans="1:69" s="58" customFormat="1" ht="16.149999999999999" customHeight="1" x14ac:dyDescent="0.25">
      <c r="A27" s="223">
        <f t="shared" si="19"/>
        <v>20</v>
      </c>
      <c r="B27" s="258" t="s">
        <v>316</v>
      </c>
      <c r="C27" s="348"/>
      <c r="D27" s="274"/>
      <c r="E27" s="363" t="str">
        <f t="shared" si="3"/>
        <v/>
      </c>
      <c r="F27" s="279"/>
      <c r="G27" s="366" t="str">
        <f t="shared" si="4"/>
        <v/>
      </c>
      <c r="H27" s="274"/>
      <c r="I27" s="264"/>
      <c r="J27" s="264"/>
      <c r="K27" s="363" t="str">
        <f t="shared" si="20"/>
        <v/>
      </c>
      <c r="L27" s="366" t="str">
        <f t="shared" si="5"/>
        <v/>
      </c>
      <c r="M27" s="274"/>
      <c r="N27" s="284"/>
      <c r="O27" s="366" t="str">
        <f t="shared" si="6"/>
        <v/>
      </c>
      <c r="P27" s="273"/>
      <c r="Q27" s="363" t="str">
        <f t="shared" si="7"/>
        <v/>
      </c>
      <c r="R27" s="278"/>
      <c r="S27" s="366" t="str">
        <f t="shared" si="8"/>
        <v/>
      </c>
      <c r="T27" s="293"/>
      <c r="U27" s="363" t="str">
        <f t="shared" si="1"/>
        <v/>
      </c>
      <c r="V27" s="279"/>
      <c r="W27" s="366" t="str">
        <f t="shared" si="9"/>
        <v/>
      </c>
      <c r="X27" s="297"/>
      <c r="Y27" s="294"/>
      <c r="Z27" s="363" t="str">
        <f t="shared" si="10"/>
        <v/>
      </c>
      <c r="AA27" s="301"/>
      <c r="AB27" s="366" t="str">
        <f t="shared" si="11"/>
        <v/>
      </c>
      <c r="AC27" s="304"/>
      <c r="AD27" s="307"/>
      <c r="AE27" s="366" t="str">
        <f t="shared" si="21"/>
        <v/>
      </c>
      <c r="AF27" s="311"/>
      <c r="AG27" s="363" t="str">
        <f t="shared" si="12"/>
        <v/>
      </c>
      <c r="AH27" s="279"/>
      <c r="AI27" s="366" t="str">
        <f t="shared" si="76"/>
        <v/>
      </c>
      <c r="AJ27" s="360"/>
      <c r="AK27" s="363" t="str">
        <f t="shared" si="22"/>
        <v/>
      </c>
      <c r="AL27" s="357"/>
      <c r="AM27" s="366" t="str">
        <f t="shared" si="14"/>
        <v/>
      </c>
      <c r="AN27" s="297"/>
      <c r="AO27" s="295"/>
      <c r="AP27" s="264"/>
      <c r="AQ27" s="279"/>
      <c r="AR27" s="366" t="str">
        <f t="shared" si="15"/>
        <v/>
      </c>
      <c r="AS27" s="269"/>
      <c r="AT27" s="269"/>
      <c r="AU27" s="363" t="str">
        <f>IF(OR(AS27="",AT27=""),"",VLOOKUP(BO27,Parameters!$B$75:$C$83,2,FALSE))</f>
        <v/>
      </c>
      <c r="AV27" s="279"/>
      <c r="AW27" s="366" t="str">
        <f t="shared" si="16"/>
        <v/>
      </c>
      <c r="AX27" s="269"/>
      <c r="AY27" s="363" t="str">
        <f t="shared" si="23"/>
        <v/>
      </c>
      <c r="AZ27" s="279"/>
      <c r="BA27" s="366" t="str">
        <f t="shared" si="24"/>
        <v/>
      </c>
      <c r="BB27" s="225"/>
      <c r="BC27" s="331"/>
      <c r="BD27" s="279"/>
      <c r="BE27" s="366" t="str">
        <f t="shared" si="25"/>
        <v/>
      </c>
      <c r="BF27" s="269"/>
      <c r="BG27" s="363" t="str">
        <f t="shared" si="26"/>
        <v/>
      </c>
      <c r="BH27" s="264"/>
      <c r="BI27" s="279"/>
      <c r="BJ27" s="366" t="str">
        <f t="shared" si="27"/>
        <v/>
      </c>
      <c r="BK27" s="297"/>
      <c r="BL27" s="338"/>
      <c r="BM27" s="342"/>
      <c r="BN27" s="59" t="str">
        <f t="shared" si="17"/>
        <v/>
      </c>
      <c r="BO27" s="57" t="str">
        <f t="shared" si="18"/>
        <v/>
      </c>
      <c r="BP27" s="57"/>
      <c r="BQ27" s="57"/>
    </row>
    <row r="28" spans="1:69" s="58" customFormat="1" ht="16.149999999999999" customHeight="1" x14ac:dyDescent="0.25">
      <c r="A28" s="223">
        <f t="shared" si="19"/>
        <v>21</v>
      </c>
      <c r="B28" s="258" t="s">
        <v>316</v>
      </c>
      <c r="C28" s="348"/>
      <c r="D28" s="274"/>
      <c r="E28" s="364" t="str">
        <f t="shared" si="3"/>
        <v/>
      </c>
      <c r="F28" s="279"/>
      <c r="G28" s="366" t="str">
        <f t="shared" si="4"/>
        <v/>
      </c>
      <c r="H28" s="274"/>
      <c r="I28" s="264"/>
      <c r="J28" s="267"/>
      <c r="K28" s="363" t="str">
        <f t="shared" si="20"/>
        <v/>
      </c>
      <c r="L28" s="366" t="str">
        <f t="shared" si="5"/>
        <v/>
      </c>
      <c r="M28" s="274"/>
      <c r="N28" s="284"/>
      <c r="O28" s="366" t="str">
        <f t="shared" si="6"/>
        <v/>
      </c>
      <c r="P28" s="273"/>
      <c r="Q28" s="363" t="str">
        <f t="shared" si="7"/>
        <v/>
      </c>
      <c r="R28" s="278"/>
      <c r="S28" s="366" t="str">
        <f t="shared" si="8"/>
        <v/>
      </c>
      <c r="T28" s="293"/>
      <c r="U28" s="363" t="str">
        <f t="shared" si="1"/>
        <v/>
      </c>
      <c r="V28" s="279"/>
      <c r="W28" s="366" t="str">
        <f t="shared" si="9"/>
        <v/>
      </c>
      <c r="X28" s="297"/>
      <c r="Y28" s="294"/>
      <c r="Z28" s="363" t="str">
        <f t="shared" si="10"/>
        <v/>
      </c>
      <c r="AA28" s="301"/>
      <c r="AB28" s="366" t="str">
        <f t="shared" si="11"/>
        <v/>
      </c>
      <c r="AC28" s="304"/>
      <c r="AD28" s="307"/>
      <c r="AE28" s="366" t="str">
        <f t="shared" si="21"/>
        <v/>
      </c>
      <c r="AF28" s="311"/>
      <c r="AG28" s="363" t="str">
        <f t="shared" si="12"/>
        <v/>
      </c>
      <c r="AH28" s="279"/>
      <c r="AI28" s="366" t="str">
        <f t="shared" si="76"/>
        <v/>
      </c>
      <c r="AJ28" s="360"/>
      <c r="AK28" s="363" t="str">
        <f t="shared" si="22"/>
        <v/>
      </c>
      <c r="AL28" s="357"/>
      <c r="AM28" s="366" t="str">
        <f t="shared" si="14"/>
        <v/>
      </c>
      <c r="AN28" s="297"/>
      <c r="AO28" s="295"/>
      <c r="AP28" s="264"/>
      <c r="AQ28" s="278"/>
      <c r="AR28" s="366" t="str">
        <f t="shared" si="15"/>
        <v/>
      </c>
      <c r="AS28" s="269"/>
      <c r="AT28" s="269"/>
      <c r="AU28" s="363" t="str">
        <f>IF(OR(AS28="",AT28=""),"",VLOOKUP(BO28,Parameters!$B$75:$C$83,2,FALSE))</f>
        <v/>
      </c>
      <c r="AV28" s="279"/>
      <c r="AW28" s="366" t="str">
        <f t="shared" si="16"/>
        <v/>
      </c>
      <c r="AX28" s="269"/>
      <c r="AY28" s="363" t="str">
        <f t="shared" si="23"/>
        <v/>
      </c>
      <c r="AZ28" s="279"/>
      <c r="BA28" s="366" t="str">
        <f>IF(OR(AX28="",NOT(ISNUMBER(AZ28))),"",IF(AY28="Low",AZ28*4,IF(AY28="Average",AZ28*6,IF(AY28="High",AZ28*10))))</f>
        <v/>
      </c>
      <c r="BB28" s="225"/>
      <c r="BC28" s="331"/>
      <c r="BD28" s="279"/>
      <c r="BE28" s="366" t="str">
        <f t="shared" si="25"/>
        <v/>
      </c>
      <c r="BF28" s="269"/>
      <c r="BG28" s="363" t="str">
        <f t="shared" si="26"/>
        <v/>
      </c>
      <c r="BH28" s="264"/>
      <c r="BI28" s="279"/>
      <c r="BJ28" s="366" t="str">
        <f>IF(OR(BF28="",(BH28+BI28)=0,NOT(ISNUMBER(BI28)),NOT(ISNUMBER(BH28))),"",IF(BG28="Low",(BH28+BI28)*3,IF(BG28="Average",(BH28+BI28)*4,IF(BG28="High",(BH28+BI28)*6))))</f>
        <v/>
      </c>
      <c r="BK28" s="297"/>
      <c r="BL28" s="338"/>
      <c r="BM28" s="342"/>
      <c r="BN28" s="59" t="str">
        <f t="shared" si="17"/>
        <v/>
      </c>
      <c r="BO28" s="57" t="str">
        <f t="shared" si="18"/>
        <v/>
      </c>
      <c r="BP28" s="57"/>
      <c r="BQ28" s="57"/>
    </row>
    <row r="29" spans="1:69" s="58" customFormat="1" ht="16.149999999999999" customHeight="1" x14ac:dyDescent="0.25">
      <c r="A29" s="223">
        <f t="shared" si="19"/>
        <v>22</v>
      </c>
      <c r="B29" s="258" t="s">
        <v>316</v>
      </c>
      <c r="C29" s="348"/>
      <c r="D29" s="274"/>
      <c r="E29" s="363" t="str">
        <f t="shared" si="3"/>
        <v/>
      </c>
      <c r="F29" s="279"/>
      <c r="G29" s="366" t="str">
        <f t="shared" si="4"/>
        <v/>
      </c>
      <c r="H29" s="274"/>
      <c r="I29" s="264"/>
      <c r="J29" s="267"/>
      <c r="K29" s="363" t="str">
        <f t="shared" si="20"/>
        <v/>
      </c>
      <c r="L29" s="366" t="str">
        <f t="shared" si="5"/>
        <v/>
      </c>
      <c r="M29" s="274"/>
      <c r="N29" s="284"/>
      <c r="O29" s="366" t="str">
        <f t="shared" si="6"/>
        <v/>
      </c>
      <c r="P29" s="273"/>
      <c r="Q29" s="363" t="str">
        <f t="shared" si="7"/>
        <v/>
      </c>
      <c r="R29" s="278"/>
      <c r="S29" s="366" t="str">
        <f t="shared" si="8"/>
        <v/>
      </c>
      <c r="T29" s="293"/>
      <c r="U29" s="363" t="str">
        <f t="shared" si="1"/>
        <v/>
      </c>
      <c r="V29" s="279"/>
      <c r="W29" s="366" t="str">
        <f t="shared" si="9"/>
        <v/>
      </c>
      <c r="X29" s="297"/>
      <c r="Y29" s="295"/>
      <c r="Z29" s="363" t="str">
        <f t="shared" si="10"/>
        <v/>
      </c>
      <c r="AA29" s="302"/>
      <c r="AB29" s="366" t="str">
        <f t="shared" si="11"/>
        <v/>
      </c>
      <c r="AC29" s="304"/>
      <c r="AD29" s="307"/>
      <c r="AE29" s="366" t="str">
        <f t="shared" si="21"/>
        <v/>
      </c>
      <c r="AF29" s="274"/>
      <c r="AG29" s="363" t="str">
        <f t="shared" si="12"/>
        <v/>
      </c>
      <c r="AH29" s="279"/>
      <c r="AI29" s="366" t="str">
        <f t="shared" si="76"/>
        <v/>
      </c>
      <c r="AJ29" s="360"/>
      <c r="AK29" s="363" t="str">
        <f t="shared" si="22"/>
        <v/>
      </c>
      <c r="AL29" s="357"/>
      <c r="AM29" s="366" t="str">
        <f t="shared" si="14"/>
        <v/>
      </c>
      <c r="AN29" s="297"/>
      <c r="AO29" s="295"/>
      <c r="AP29" s="264"/>
      <c r="AQ29" s="278"/>
      <c r="AR29" s="366" t="str">
        <f t="shared" si="15"/>
        <v/>
      </c>
      <c r="AS29" s="269"/>
      <c r="AT29" s="269"/>
      <c r="AU29" s="363" t="str">
        <f>IF(OR(AS29="",AT29=""),"",VLOOKUP(BO29,Parameters!$B$75:$C$83,2,FALSE))</f>
        <v/>
      </c>
      <c r="AV29" s="279"/>
      <c r="AW29" s="366" t="str">
        <f t="shared" si="16"/>
        <v/>
      </c>
      <c r="AX29" s="269"/>
      <c r="AY29" s="363" t="str">
        <f t="shared" si="23"/>
        <v/>
      </c>
      <c r="AZ29" s="279"/>
      <c r="BA29" s="366" t="str">
        <f t="shared" si="24"/>
        <v/>
      </c>
      <c r="BB29" s="225"/>
      <c r="BC29" s="331"/>
      <c r="BD29" s="279"/>
      <c r="BE29" s="366" t="str">
        <f t="shared" si="25"/>
        <v/>
      </c>
      <c r="BF29" s="269"/>
      <c r="BG29" s="363" t="str">
        <f t="shared" si="26"/>
        <v/>
      </c>
      <c r="BH29" s="264"/>
      <c r="BI29" s="279"/>
      <c r="BJ29" s="366" t="str">
        <f t="shared" si="27"/>
        <v/>
      </c>
      <c r="BK29" s="297"/>
      <c r="BL29" s="338"/>
      <c r="BM29" s="342"/>
      <c r="BN29" s="59" t="str">
        <f t="shared" si="17"/>
        <v/>
      </c>
      <c r="BO29" s="57" t="str">
        <f t="shared" si="18"/>
        <v/>
      </c>
      <c r="BP29" s="57"/>
      <c r="BQ29" s="57"/>
    </row>
    <row r="30" spans="1:69" s="58" customFormat="1" ht="16.149999999999999" customHeight="1" x14ac:dyDescent="0.25">
      <c r="A30" s="223">
        <f t="shared" si="19"/>
        <v>23</v>
      </c>
      <c r="B30" s="258" t="s">
        <v>316</v>
      </c>
      <c r="C30" s="348"/>
      <c r="D30" s="274"/>
      <c r="E30" s="363" t="str">
        <f t="shared" si="3"/>
        <v/>
      </c>
      <c r="F30" s="279"/>
      <c r="G30" s="366" t="str">
        <f t="shared" si="4"/>
        <v/>
      </c>
      <c r="H30" s="274"/>
      <c r="I30" s="264"/>
      <c r="J30" s="267"/>
      <c r="K30" s="363" t="str">
        <f t="shared" si="20"/>
        <v/>
      </c>
      <c r="L30" s="366" t="str">
        <f t="shared" si="5"/>
        <v/>
      </c>
      <c r="M30" s="274"/>
      <c r="N30" s="284"/>
      <c r="O30" s="366" t="str">
        <f t="shared" si="6"/>
        <v/>
      </c>
      <c r="P30" s="273"/>
      <c r="Q30" s="363" t="str">
        <f t="shared" si="7"/>
        <v/>
      </c>
      <c r="R30" s="279"/>
      <c r="S30" s="366" t="str">
        <f t="shared" si="8"/>
        <v/>
      </c>
      <c r="T30" s="269"/>
      <c r="U30" s="363" t="str">
        <f t="shared" si="1"/>
        <v/>
      </c>
      <c r="V30" s="279"/>
      <c r="W30" s="366" t="str">
        <f t="shared" si="9"/>
        <v/>
      </c>
      <c r="X30" s="297"/>
      <c r="Y30" s="294"/>
      <c r="Z30" s="363" t="str">
        <f t="shared" si="10"/>
        <v/>
      </c>
      <c r="AA30" s="301"/>
      <c r="AB30" s="366" t="str">
        <f t="shared" si="11"/>
        <v/>
      </c>
      <c r="AC30" s="304"/>
      <c r="AD30" s="307"/>
      <c r="AE30" s="366" t="str">
        <f t="shared" si="21"/>
        <v/>
      </c>
      <c r="AF30" s="274"/>
      <c r="AG30" s="363" t="str">
        <f t="shared" si="12"/>
        <v/>
      </c>
      <c r="AH30" s="279"/>
      <c r="AI30" s="366" t="str">
        <f t="shared" si="76"/>
        <v/>
      </c>
      <c r="AJ30" s="360"/>
      <c r="AK30" s="363" t="str">
        <f t="shared" si="22"/>
        <v/>
      </c>
      <c r="AL30" s="357"/>
      <c r="AM30" s="366" t="str">
        <f t="shared" si="14"/>
        <v/>
      </c>
      <c r="AN30" s="297"/>
      <c r="AO30" s="295"/>
      <c r="AP30" s="264"/>
      <c r="AQ30" s="278"/>
      <c r="AR30" s="366" t="str">
        <f t="shared" si="15"/>
        <v/>
      </c>
      <c r="AS30" s="269"/>
      <c r="AT30" s="269"/>
      <c r="AU30" s="363" t="str">
        <f>IF(OR(AS30="",AT30=""),"",VLOOKUP(BO30,Parameters!$B$75:$C$83,2,FALSE))</f>
        <v/>
      </c>
      <c r="AV30" s="279"/>
      <c r="AW30" s="366" t="str">
        <f t="shared" si="16"/>
        <v/>
      </c>
      <c r="AX30" s="269"/>
      <c r="AY30" s="363" t="str">
        <f t="shared" si="23"/>
        <v/>
      </c>
      <c r="AZ30" s="279"/>
      <c r="BA30" s="366" t="str">
        <f t="shared" si="24"/>
        <v/>
      </c>
      <c r="BB30" s="328"/>
      <c r="BC30" s="331"/>
      <c r="BD30" s="279"/>
      <c r="BE30" s="366" t="str">
        <f t="shared" si="25"/>
        <v/>
      </c>
      <c r="BF30" s="269"/>
      <c r="BG30" s="363" t="str">
        <f t="shared" si="26"/>
        <v/>
      </c>
      <c r="BH30" s="264"/>
      <c r="BI30" s="279"/>
      <c r="BJ30" s="366" t="str">
        <f t="shared" si="27"/>
        <v/>
      </c>
      <c r="BK30" s="297"/>
      <c r="BL30" s="338"/>
      <c r="BM30" s="342"/>
      <c r="BN30" s="59" t="str">
        <f t="shared" si="17"/>
        <v/>
      </c>
      <c r="BO30" s="57" t="str">
        <f t="shared" si="18"/>
        <v/>
      </c>
      <c r="BP30" s="57"/>
      <c r="BQ30" s="57"/>
    </row>
    <row r="31" spans="1:69" s="58" customFormat="1" ht="16.149999999999999" customHeight="1" x14ac:dyDescent="0.25">
      <c r="A31" s="223">
        <f t="shared" si="19"/>
        <v>24</v>
      </c>
      <c r="B31" s="258" t="s">
        <v>316</v>
      </c>
      <c r="C31" s="348"/>
      <c r="D31" s="274"/>
      <c r="E31" s="363" t="str">
        <f t="shared" si="3"/>
        <v/>
      </c>
      <c r="F31" s="279"/>
      <c r="G31" s="366" t="str">
        <f t="shared" si="4"/>
        <v/>
      </c>
      <c r="H31" s="274"/>
      <c r="I31" s="264"/>
      <c r="J31" s="267"/>
      <c r="K31" s="363" t="str">
        <f t="shared" si="20"/>
        <v/>
      </c>
      <c r="L31" s="366" t="str">
        <f t="shared" si="5"/>
        <v/>
      </c>
      <c r="M31" s="274"/>
      <c r="N31" s="284"/>
      <c r="O31" s="366" t="str">
        <f t="shared" si="6"/>
        <v/>
      </c>
      <c r="P31" s="273"/>
      <c r="Q31" s="363" t="str">
        <f t="shared" si="7"/>
        <v/>
      </c>
      <c r="R31" s="278"/>
      <c r="S31" s="366" t="str">
        <f t="shared" si="8"/>
        <v/>
      </c>
      <c r="T31" s="269"/>
      <c r="U31" s="363" t="str">
        <f t="shared" si="1"/>
        <v/>
      </c>
      <c r="V31" s="279"/>
      <c r="W31" s="366" t="str">
        <f t="shared" si="9"/>
        <v/>
      </c>
      <c r="X31" s="297"/>
      <c r="Y31" s="294"/>
      <c r="Z31" s="363" t="str">
        <f t="shared" si="10"/>
        <v/>
      </c>
      <c r="AA31" s="301"/>
      <c r="AB31" s="366" t="str">
        <f t="shared" si="11"/>
        <v/>
      </c>
      <c r="AC31" s="304"/>
      <c r="AD31" s="307"/>
      <c r="AE31" s="366" t="str">
        <f t="shared" si="21"/>
        <v/>
      </c>
      <c r="AF31" s="274"/>
      <c r="AG31" s="363" t="str">
        <f t="shared" si="12"/>
        <v/>
      </c>
      <c r="AH31" s="279"/>
      <c r="AI31" s="366" t="str">
        <f t="shared" si="76"/>
        <v/>
      </c>
      <c r="AJ31" s="360"/>
      <c r="AK31" s="363" t="str">
        <f t="shared" si="22"/>
        <v/>
      </c>
      <c r="AL31" s="357"/>
      <c r="AM31" s="366" t="str">
        <f t="shared" si="14"/>
        <v/>
      </c>
      <c r="AN31" s="297"/>
      <c r="AO31" s="295"/>
      <c r="AP31" s="264"/>
      <c r="AQ31" s="278"/>
      <c r="AR31" s="366" t="str">
        <f t="shared" si="15"/>
        <v/>
      </c>
      <c r="AS31" s="269"/>
      <c r="AT31" s="269"/>
      <c r="AU31" s="363" t="str">
        <f>IF(OR(AS31="",AT31=""),"",VLOOKUP(BO31,Parameters!$B$75:$C$83,2,FALSE))</f>
        <v/>
      </c>
      <c r="AV31" s="279"/>
      <c r="AW31" s="366" t="str">
        <f t="shared" si="16"/>
        <v/>
      </c>
      <c r="AX31" s="269"/>
      <c r="AY31" s="363" t="str">
        <f t="shared" si="23"/>
        <v/>
      </c>
      <c r="AZ31" s="279"/>
      <c r="BA31" s="366" t="str">
        <f t="shared" si="24"/>
        <v/>
      </c>
      <c r="BB31" s="297"/>
      <c r="BC31" s="324"/>
      <c r="BD31" s="279"/>
      <c r="BE31" s="366" t="str">
        <f t="shared" si="25"/>
        <v/>
      </c>
      <c r="BF31" s="269"/>
      <c r="BG31" s="363" t="str">
        <f t="shared" si="26"/>
        <v/>
      </c>
      <c r="BH31" s="264"/>
      <c r="BI31" s="279"/>
      <c r="BJ31" s="366" t="str">
        <f t="shared" si="27"/>
        <v/>
      </c>
      <c r="BK31" s="297"/>
      <c r="BL31" s="339"/>
      <c r="BM31" s="342"/>
      <c r="BN31" s="59" t="str">
        <f t="shared" si="17"/>
        <v/>
      </c>
      <c r="BO31" s="57" t="str">
        <f t="shared" si="18"/>
        <v/>
      </c>
      <c r="BP31" s="57"/>
      <c r="BQ31" s="57"/>
    </row>
    <row r="32" spans="1:69" s="58" customFormat="1" ht="16.149999999999999" customHeight="1" x14ac:dyDescent="0.25">
      <c r="A32" s="223">
        <f t="shared" si="19"/>
        <v>25</v>
      </c>
      <c r="B32" s="258" t="s">
        <v>316</v>
      </c>
      <c r="C32" s="348"/>
      <c r="D32" s="274"/>
      <c r="E32" s="363" t="str">
        <f t="shared" si="3"/>
        <v/>
      </c>
      <c r="F32" s="279"/>
      <c r="G32" s="366" t="str">
        <f t="shared" si="4"/>
        <v/>
      </c>
      <c r="H32" s="274"/>
      <c r="I32" s="264"/>
      <c r="J32" s="267"/>
      <c r="K32" s="363" t="str">
        <f t="shared" si="20"/>
        <v/>
      </c>
      <c r="L32" s="366" t="str">
        <f t="shared" si="5"/>
        <v/>
      </c>
      <c r="M32" s="274"/>
      <c r="N32" s="284"/>
      <c r="O32" s="366" t="str">
        <f t="shared" si="6"/>
        <v/>
      </c>
      <c r="P32" s="273"/>
      <c r="Q32" s="363" t="str">
        <f t="shared" si="7"/>
        <v/>
      </c>
      <c r="R32" s="279"/>
      <c r="S32" s="366" t="str">
        <f t="shared" si="8"/>
        <v/>
      </c>
      <c r="T32" s="269"/>
      <c r="U32" s="363" t="str">
        <f t="shared" si="1"/>
        <v/>
      </c>
      <c r="V32" s="279"/>
      <c r="W32" s="366" t="str">
        <f t="shared" si="9"/>
        <v/>
      </c>
      <c r="X32" s="297"/>
      <c r="Y32" s="294"/>
      <c r="Z32" s="363" t="str">
        <f t="shared" si="10"/>
        <v/>
      </c>
      <c r="AA32" s="301"/>
      <c r="AB32" s="366" t="str">
        <f t="shared" si="11"/>
        <v/>
      </c>
      <c r="AC32" s="304"/>
      <c r="AD32" s="307"/>
      <c r="AE32" s="366" t="str">
        <f t="shared" si="21"/>
        <v/>
      </c>
      <c r="AF32" s="274"/>
      <c r="AG32" s="363" t="str">
        <f t="shared" si="12"/>
        <v/>
      </c>
      <c r="AH32" s="279"/>
      <c r="AI32" s="366" t="str">
        <f t="shared" si="76"/>
        <v/>
      </c>
      <c r="AJ32" s="360"/>
      <c r="AK32" s="363" t="str">
        <f t="shared" si="22"/>
        <v/>
      </c>
      <c r="AL32" s="357"/>
      <c r="AM32" s="366" t="str">
        <f t="shared" si="14"/>
        <v/>
      </c>
      <c r="AN32" s="297"/>
      <c r="AO32" s="295"/>
      <c r="AP32" s="264"/>
      <c r="AQ32" s="278"/>
      <c r="AR32" s="366" t="str">
        <f t="shared" si="15"/>
        <v/>
      </c>
      <c r="AS32" s="269"/>
      <c r="AT32" s="269"/>
      <c r="AU32" s="363" t="str">
        <f>IF(OR(AS32="",AT32=""),"",VLOOKUP(BO32,Parameters!$B$75:$C$83,2,FALSE))</f>
        <v/>
      </c>
      <c r="AV32" s="279"/>
      <c r="AW32" s="366" t="str">
        <f t="shared" si="16"/>
        <v/>
      </c>
      <c r="AX32" s="269"/>
      <c r="AY32" s="363" t="str">
        <f t="shared" si="23"/>
        <v/>
      </c>
      <c r="AZ32" s="279"/>
      <c r="BA32" s="366" t="str">
        <f t="shared" si="24"/>
        <v/>
      </c>
      <c r="BB32" s="297"/>
      <c r="BC32" s="324"/>
      <c r="BD32" s="279"/>
      <c r="BE32" s="366" t="str">
        <f t="shared" si="25"/>
        <v/>
      </c>
      <c r="BF32" s="269"/>
      <c r="BG32" s="363" t="str">
        <f t="shared" si="26"/>
        <v/>
      </c>
      <c r="BH32" s="264"/>
      <c r="BI32" s="279"/>
      <c r="BJ32" s="366" t="str">
        <f t="shared" si="27"/>
        <v/>
      </c>
      <c r="BK32" s="297"/>
      <c r="BL32" s="333"/>
      <c r="BM32" s="64"/>
      <c r="BN32" s="59" t="str">
        <f t="shared" si="17"/>
        <v/>
      </c>
      <c r="BO32" s="57" t="str">
        <f t="shared" si="18"/>
        <v/>
      </c>
      <c r="BP32" s="57"/>
      <c r="BQ32" s="57"/>
    </row>
    <row r="33" spans="1:69" s="58" customFormat="1" ht="16.149999999999999" customHeight="1" x14ac:dyDescent="0.25">
      <c r="A33" s="223">
        <f t="shared" si="19"/>
        <v>26</v>
      </c>
      <c r="B33" s="258" t="s">
        <v>316</v>
      </c>
      <c r="C33" s="348"/>
      <c r="D33" s="274"/>
      <c r="E33" s="363" t="str">
        <f t="shared" si="3"/>
        <v/>
      </c>
      <c r="F33" s="279"/>
      <c r="G33" s="366" t="str">
        <f t="shared" si="4"/>
        <v/>
      </c>
      <c r="H33" s="274"/>
      <c r="I33" s="264"/>
      <c r="J33" s="267"/>
      <c r="K33" s="363" t="str">
        <f t="shared" si="20"/>
        <v/>
      </c>
      <c r="L33" s="366" t="str">
        <f t="shared" si="5"/>
        <v/>
      </c>
      <c r="M33" s="274"/>
      <c r="N33" s="284"/>
      <c r="O33" s="366" t="str">
        <f t="shared" si="6"/>
        <v/>
      </c>
      <c r="P33" s="273"/>
      <c r="Q33" s="363" t="str">
        <f t="shared" si="7"/>
        <v/>
      </c>
      <c r="R33" s="278"/>
      <c r="S33" s="366" t="str">
        <f t="shared" si="8"/>
        <v/>
      </c>
      <c r="T33" s="269"/>
      <c r="U33" s="363" t="str">
        <f t="shared" si="1"/>
        <v/>
      </c>
      <c r="V33" s="279"/>
      <c r="W33" s="366" t="str">
        <f t="shared" si="9"/>
        <v/>
      </c>
      <c r="X33" s="297"/>
      <c r="Y33" s="294"/>
      <c r="Z33" s="363" t="str">
        <f t="shared" si="10"/>
        <v/>
      </c>
      <c r="AA33" s="301"/>
      <c r="AB33" s="366" t="str">
        <f t="shared" si="11"/>
        <v/>
      </c>
      <c r="AC33" s="304"/>
      <c r="AD33" s="307"/>
      <c r="AE33" s="366" t="str">
        <f t="shared" si="21"/>
        <v/>
      </c>
      <c r="AF33" s="274"/>
      <c r="AG33" s="363" t="str">
        <f t="shared" si="12"/>
        <v/>
      </c>
      <c r="AH33" s="279"/>
      <c r="AI33" s="366" t="str">
        <f t="shared" si="76"/>
        <v/>
      </c>
      <c r="AJ33" s="360"/>
      <c r="AK33" s="363" t="str">
        <f t="shared" si="22"/>
        <v/>
      </c>
      <c r="AL33" s="357"/>
      <c r="AM33" s="366" t="str">
        <f t="shared" si="14"/>
        <v/>
      </c>
      <c r="AN33" s="297"/>
      <c r="AO33" s="295"/>
      <c r="AP33" s="264"/>
      <c r="AQ33" s="278"/>
      <c r="AR33" s="366" t="str">
        <f t="shared" si="15"/>
        <v/>
      </c>
      <c r="AS33" s="269"/>
      <c r="AT33" s="269"/>
      <c r="AU33" s="363" t="str">
        <f>IF(OR(AS33="",AT33=""),"",VLOOKUP(BO33,Parameters!$B$75:$C$83,2,FALSE))</f>
        <v/>
      </c>
      <c r="AV33" s="279"/>
      <c r="AW33" s="366" t="str">
        <f t="shared" si="16"/>
        <v/>
      </c>
      <c r="AX33" s="269"/>
      <c r="AY33" s="363" t="str">
        <f t="shared" si="23"/>
        <v/>
      </c>
      <c r="AZ33" s="279"/>
      <c r="BA33" s="366" t="str">
        <f t="shared" si="24"/>
        <v/>
      </c>
      <c r="BB33" s="297"/>
      <c r="BC33" s="324"/>
      <c r="BD33" s="279"/>
      <c r="BE33" s="366" t="str">
        <f t="shared" si="25"/>
        <v/>
      </c>
      <c r="BF33" s="269"/>
      <c r="BG33" s="363" t="str">
        <f t="shared" si="26"/>
        <v/>
      </c>
      <c r="BH33" s="264"/>
      <c r="BI33" s="279"/>
      <c r="BJ33" s="366" t="str">
        <f t="shared" si="27"/>
        <v/>
      </c>
      <c r="BK33" s="297"/>
      <c r="BL33" s="333"/>
      <c r="BM33" s="64"/>
      <c r="BN33" s="59" t="str">
        <f t="shared" si="17"/>
        <v/>
      </c>
      <c r="BO33" s="57" t="str">
        <f t="shared" si="18"/>
        <v/>
      </c>
      <c r="BP33" s="57"/>
      <c r="BQ33" s="57"/>
    </row>
    <row r="34" spans="1:69" s="58" customFormat="1" ht="16.149999999999999" customHeight="1" x14ac:dyDescent="0.25">
      <c r="A34" s="223">
        <f t="shared" si="19"/>
        <v>27</v>
      </c>
      <c r="B34" s="258" t="s">
        <v>316</v>
      </c>
      <c r="C34" s="348"/>
      <c r="D34" s="274"/>
      <c r="E34" s="363" t="str">
        <f t="shared" si="3"/>
        <v/>
      </c>
      <c r="F34" s="279"/>
      <c r="G34" s="367" t="str">
        <f t="shared" si="4"/>
        <v/>
      </c>
      <c r="H34" s="274"/>
      <c r="I34" s="264"/>
      <c r="J34" s="267"/>
      <c r="K34" s="363" t="str">
        <f t="shared" si="20"/>
        <v/>
      </c>
      <c r="L34" s="366" t="str">
        <f t="shared" si="5"/>
        <v/>
      </c>
      <c r="M34" s="274"/>
      <c r="N34" s="284"/>
      <c r="O34" s="366" t="str">
        <f t="shared" si="6"/>
        <v/>
      </c>
      <c r="P34" s="274"/>
      <c r="Q34" s="363" t="str">
        <f t="shared" si="7"/>
        <v/>
      </c>
      <c r="R34" s="278"/>
      <c r="S34" s="366" t="str">
        <f t="shared" si="8"/>
        <v/>
      </c>
      <c r="T34" s="269"/>
      <c r="U34" s="363" t="str">
        <f t="shared" si="1"/>
        <v/>
      </c>
      <c r="V34" s="279"/>
      <c r="W34" s="366" t="str">
        <f t="shared" si="9"/>
        <v/>
      </c>
      <c r="X34" s="297"/>
      <c r="Y34" s="294"/>
      <c r="Z34" s="363" t="str">
        <f t="shared" si="10"/>
        <v/>
      </c>
      <c r="AA34" s="302"/>
      <c r="AB34" s="366" t="str">
        <f t="shared" si="11"/>
        <v/>
      </c>
      <c r="AC34" s="305"/>
      <c r="AD34" s="307"/>
      <c r="AE34" s="366" t="str">
        <f t="shared" si="21"/>
        <v/>
      </c>
      <c r="AF34" s="274"/>
      <c r="AG34" s="363" t="str">
        <f t="shared" si="12"/>
        <v/>
      </c>
      <c r="AH34" s="279"/>
      <c r="AI34" s="366" t="str">
        <f t="shared" si="76"/>
        <v/>
      </c>
      <c r="AJ34" s="360"/>
      <c r="AK34" s="363" t="str">
        <f t="shared" si="22"/>
        <v/>
      </c>
      <c r="AL34" s="357"/>
      <c r="AM34" s="366" t="str">
        <f t="shared" si="14"/>
        <v/>
      </c>
      <c r="AN34" s="297"/>
      <c r="AO34" s="295"/>
      <c r="AP34" s="264"/>
      <c r="AQ34" s="278"/>
      <c r="AR34" s="366" t="str">
        <f t="shared" si="15"/>
        <v/>
      </c>
      <c r="AS34" s="269"/>
      <c r="AT34" s="271"/>
      <c r="AU34" s="363" t="str">
        <f>IF(OR(AS34="",AT34=""),"",VLOOKUP(BO34,Parameters!$B$75:$C$83,2,FALSE))</f>
        <v/>
      </c>
      <c r="AV34" s="279"/>
      <c r="AW34" s="366" t="str">
        <f t="shared" si="16"/>
        <v/>
      </c>
      <c r="AX34" s="269"/>
      <c r="AY34" s="363" t="str">
        <f t="shared" si="23"/>
        <v/>
      </c>
      <c r="AZ34" s="279"/>
      <c r="BA34" s="366" t="str">
        <f t="shared" si="24"/>
        <v/>
      </c>
      <c r="BB34" s="297"/>
      <c r="BC34" s="324"/>
      <c r="BD34" s="279"/>
      <c r="BE34" s="366" t="str">
        <f t="shared" si="25"/>
        <v/>
      </c>
      <c r="BF34" s="269"/>
      <c r="BG34" s="363" t="str">
        <f t="shared" si="26"/>
        <v/>
      </c>
      <c r="BH34" s="264"/>
      <c r="BI34" s="279"/>
      <c r="BJ34" s="366" t="str">
        <f t="shared" si="27"/>
        <v/>
      </c>
      <c r="BK34" s="297"/>
      <c r="BL34" s="333"/>
      <c r="BM34" s="64"/>
      <c r="BN34" s="59" t="str">
        <f t="shared" si="17"/>
        <v/>
      </c>
      <c r="BO34" s="57" t="str">
        <f t="shared" si="18"/>
        <v/>
      </c>
      <c r="BP34" s="57"/>
      <c r="BQ34" s="57"/>
    </row>
    <row r="35" spans="1:69" s="58" customFormat="1" ht="16.149999999999999" customHeight="1" x14ac:dyDescent="0.25">
      <c r="A35" s="223">
        <f t="shared" si="19"/>
        <v>28</v>
      </c>
      <c r="B35" s="258" t="s">
        <v>316</v>
      </c>
      <c r="C35" s="348"/>
      <c r="D35" s="274"/>
      <c r="E35" s="363" t="str">
        <f t="shared" si="3"/>
        <v/>
      </c>
      <c r="F35" s="279"/>
      <c r="G35" s="366" t="str">
        <f t="shared" si="4"/>
        <v/>
      </c>
      <c r="H35" s="274"/>
      <c r="I35" s="264"/>
      <c r="J35" s="267"/>
      <c r="K35" s="363" t="str">
        <f t="shared" si="20"/>
        <v/>
      </c>
      <c r="L35" s="366" t="str">
        <f t="shared" si="5"/>
        <v/>
      </c>
      <c r="M35" s="274"/>
      <c r="N35" s="284"/>
      <c r="O35" s="366" t="str">
        <f t="shared" si="6"/>
        <v/>
      </c>
      <c r="P35" s="273"/>
      <c r="Q35" s="363" t="str">
        <f t="shared" si="7"/>
        <v/>
      </c>
      <c r="R35" s="278"/>
      <c r="S35" s="366" t="str">
        <f t="shared" si="8"/>
        <v/>
      </c>
      <c r="T35" s="269"/>
      <c r="U35" s="363" t="str">
        <f t="shared" si="1"/>
        <v/>
      </c>
      <c r="V35" s="279"/>
      <c r="W35" s="366" t="str">
        <f t="shared" si="9"/>
        <v/>
      </c>
      <c r="X35" s="297"/>
      <c r="Y35" s="295"/>
      <c r="Z35" s="363" t="str">
        <f t="shared" si="10"/>
        <v/>
      </c>
      <c r="AA35" s="301"/>
      <c r="AB35" s="366" t="str">
        <f t="shared" si="11"/>
        <v/>
      </c>
      <c r="AC35" s="304"/>
      <c r="AD35" s="307"/>
      <c r="AE35" s="366" t="str">
        <f t="shared" si="21"/>
        <v/>
      </c>
      <c r="AF35" s="274"/>
      <c r="AG35" s="363" t="str">
        <f t="shared" si="12"/>
        <v/>
      </c>
      <c r="AH35" s="279"/>
      <c r="AI35" s="366" t="str">
        <f t="shared" si="76"/>
        <v/>
      </c>
      <c r="AJ35" s="360"/>
      <c r="AK35" s="363" t="str">
        <f t="shared" si="22"/>
        <v/>
      </c>
      <c r="AL35" s="357"/>
      <c r="AM35" s="366" t="str">
        <f t="shared" si="14"/>
        <v/>
      </c>
      <c r="AN35" s="297"/>
      <c r="AO35" s="295"/>
      <c r="AP35" s="264"/>
      <c r="AQ35" s="278"/>
      <c r="AR35" s="366" t="str">
        <f t="shared" si="15"/>
        <v/>
      </c>
      <c r="AS35" s="269"/>
      <c r="AT35" s="271"/>
      <c r="AU35" s="363" t="str">
        <f>IF(OR(AS35="",AT35=""),"",VLOOKUP(BO35,Parameters!$B$75:$C$83,2,FALSE))</f>
        <v/>
      </c>
      <c r="AV35" s="279"/>
      <c r="AW35" s="366" t="str">
        <f t="shared" si="16"/>
        <v/>
      </c>
      <c r="AX35" s="269"/>
      <c r="AY35" s="363" t="str">
        <f t="shared" si="23"/>
        <v/>
      </c>
      <c r="AZ35" s="279"/>
      <c r="BA35" s="366" t="str">
        <f t="shared" si="24"/>
        <v/>
      </c>
      <c r="BB35" s="297"/>
      <c r="BC35" s="324"/>
      <c r="BD35" s="279"/>
      <c r="BE35" s="366" t="str">
        <f t="shared" si="25"/>
        <v/>
      </c>
      <c r="BF35" s="269"/>
      <c r="BG35" s="363" t="str">
        <f t="shared" si="26"/>
        <v/>
      </c>
      <c r="BH35" s="264"/>
      <c r="BI35" s="279"/>
      <c r="BJ35" s="366" t="str">
        <f t="shared" si="27"/>
        <v/>
      </c>
      <c r="BK35" s="297"/>
      <c r="BL35" s="333"/>
      <c r="BM35" s="64"/>
      <c r="BN35" s="59" t="str">
        <f t="shared" si="17"/>
        <v/>
      </c>
      <c r="BO35" s="57" t="str">
        <f t="shared" si="18"/>
        <v/>
      </c>
      <c r="BP35" s="57"/>
      <c r="BQ35" s="57"/>
    </row>
    <row r="36" spans="1:69" s="58" customFormat="1" ht="16.149999999999999" customHeight="1" x14ac:dyDescent="0.25">
      <c r="A36" s="223">
        <f t="shared" si="19"/>
        <v>29</v>
      </c>
      <c r="B36" s="258" t="s">
        <v>316</v>
      </c>
      <c r="C36" s="348"/>
      <c r="D36" s="274"/>
      <c r="E36" s="363" t="str">
        <f t="shared" si="3"/>
        <v/>
      </c>
      <c r="F36" s="279"/>
      <c r="G36" s="366" t="str">
        <f t="shared" si="4"/>
        <v/>
      </c>
      <c r="H36" s="274"/>
      <c r="I36" s="264"/>
      <c r="J36" s="267"/>
      <c r="K36" s="363" t="str">
        <f t="shared" si="20"/>
        <v/>
      </c>
      <c r="L36" s="366" t="str">
        <f t="shared" si="5"/>
        <v/>
      </c>
      <c r="M36" s="274"/>
      <c r="N36" s="284"/>
      <c r="O36" s="366" t="str">
        <f t="shared" si="6"/>
        <v/>
      </c>
      <c r="P36" s="273"/>
      <c r="Q36" s="363" t="str">
        <f t="shared" si="7"/>
        <v/>
      </c>
      <c r="R36" s="278"/>
      <c r="S36" s="366" t="str">
        <f t="shared" si="8"/>
        <v/>
      </c>
      <c r="T36" s="269"/>
      <c r="U36" s="363" t="str">
        <f t="shared" si="1"/>
        <v/>
      </c>
      <c r="V36" s="279"/>
      <c r="W36" s="366" t="str">
        <f t="shared" si="9"/>
        <v/>
      </c>
      <c r="X36" s="297"/>
      <c r="Y36" s="294"/>
      <c r="Z36" s="363" t="str">
        <f t="shared" si="10"/>
        <v/>
      </c>
      <c r="AA36" s="301"/>
      <c r="AB36" s="366" t="str">
        <f t="shared" si="11"/>
        <v/>
      </c>
      <c r="AC36" s="304"/>
      <c r="AD36" s="307"/>
      <c r="AE36" s="366" t="str">
        <f t="shared" si="21"/>
        <v/>
      </c>
      <c r="AF36" s="274"/>
      <c r="AG36" s="363" t="str">
        <f t="shared" si="12"/>
        <v/>
      </c>
      <c r="AH36" s="279"/>
      <c r="AI36" s="366" t="str">
        <f t="shared" si="76"/>
        <v/>
      </c>
      <c r="AJ36" s="360"/>
      <c r="AK36" s="363" t="str">
        <f t="shared" si="22"/>
        <v/>
      </c>
      <c r="AL36" s="357"/>
      <c r="AM36" s="366" t="str">
        <f t="shared" si="14"/>
        <v/>
      </c>
      <c r="AN36" s="297"/>
      <c r="AO36" s="295"/>
      <c r="AP36" s="264"/>
      <c r="AQ36" s="278"/>
      <c r="AR36" s="366" t="str">
        <f t="shared" si="15"/>
        <v/>
      </c>
      <c r="AS36" s="269"/>
      <c r="AT36" s="271"/>
      <c r="AU36" s="363" t="str">
        <f>IF(OR(AS36="",AT36=""),"",VLOOKUP(BO36,Parameters!$B$75:$C$83,2,FALSE))</f>
        <v/>
      </c>
      <c r="AV36" s="279"/>
      <c r="AW36" s="366" t="str">
        <f t="shared" si="16"/>
        <v/>
      </c>
      <c r="AX36" s="269"/>
      <c r="AY36" s="363" t="str">
        <f t="shared" si="23"/>
        <v/>
      </c>
      <c r="AZ36" s="176"/>
      <c r="BA36" s="366" t="str">
        <f t="shared" si="24"/>
        <v/>
      </c>
      <c r="BB36" s="297"/>
      <c r="BC36" s="324"/>
      <c r="BD36" s="279"/>
      <c r="BE36" s="366" t="str">
        <f t="shared" si="25"/>
        <v/>
      </c>
      <c r="BF36" s="269"/>
      <c r="BG36" s="363" t="str">
        <f t="shared" si="26"/>
        <v/>
      </c>
      <c r="BH36" s="264"/>
      <c r="BI36" s="279"/>
      <c r="BJ36" s="366" t="str">
        <f t="shared" si="27"/>
        <v/>
      </c>
      <c r="BK36" s="297"/>
      <c r="BL36" s="333"/>
      <c r="BM36" s="64"/>
      <c r="BN36" s="59" t="str">
        <f t="shared" si="17"/>
        <v/>
      </c>
      <c r="BO36" s="57" t="str">
        <f t="shared" si="18"/>
        <v/>
      </c>
      <c r="BP36" s="57"/>
      <c r="BQ36" s="57"/>
    </row>
    <row r="37" spans="1:69" s="58" customFormat="1" ht="16.149999999999999" customHeight="1" x14ac:dyDescent="0.25">
      <c r="A37" s="223">
        <f t="shared" si="19"/>
        <v>30</v>
      </c>
      <c r="B37" s="258" t="s">
        <v>316</v>
      </c>
      <c r="C37" s="348"/>
      <c r="D37" s="274"/>
      <c r="E37" s="363" t="str">
        <f t="shared" si="3"/>
        <v/>
      </c>
      <c r="F37" s="279"/>
      <c r="G37" s="366" t="str">
        <f t="shared" si="4"/>
        <v/>
      </c>
      <c r="H37" s="274"/>
      <c r="I37" s="264"/>
      <c r="J37" s="267"/>
      <c r="K37" s="363" t="str">
        <f t="shared" si="20"/>
        <v/>
      </c>
      <c r="L37" s="366" t="str">
        <f t="shared" si="5"/>
        <v/>
      </c>
      <c r="M37" s="274"/>
      <c r="N37" s="284"/>
      <c r="O37" s="366" t="str">
        <f t="shared" si="6"/>
        <v/>
      </c>
      <c r="P37" s="273"/>
      <c r="Q37" s="363" t="str">
        <f t="shared" si="7"/>
        <v/>
      </c>
      <c r="R37" s="278"/>
      <c r="S37" s="366" t="str">
        <f t="shared" si="8"/>
        <v/>
      </c>
      <c r="T37" s="269"/>
      <c r="U37" s="363" t="str">
        <f t="shared" si="1"/>
        <v/>
      </c>
      <c r="V37" s="279"/>
      <c r="W37" s="366" t="str">
        <f t="shared" si="9"/>
        <v/>
      </c>
      <c r="X37" s="297"/>
      <c r="Y37" s="294"/>
      <c r="Z37" s="363" t="str">
        <f t="shared" si="10"/>
        <v/>
      </c>
      <c r="AA37" s="301"/>
      <c r="AB37" s="366" t="str">
        <f t="shared" si="11"/>
        <v/>
      </c>
      <c r="AC37" s="304"/>
      <c r="AD37" s="307"/>
      <c r="AE37" s="366" t="str">
        <f t="shared" si="21"/>
        <v/>
      </c>
      <c r="AF37" s="274"/>
      <c r="AG37" s="363" t="str">
        <f t="shared" si="12"/>
        <v/>
      </c>
      <c r="AH37" s="279"/>
      <c r="AI37" s="366" t="str">
        <f t="shared" si="76"/>
        <v/>
      </c>
      <c r="AJ37" s="360"/>
      <c r="AK37" s="363" t="str">
        <f t="shared" si="22"/>
        <v/>
      </c>
      <c r="AL37" s="357"/>
      <c r="AM37" s="366" t="str">
        <f t="shared" si="14"/>
        <v/>
      </c>
      <c r="AN37" s="297"/>
      <c r="AO37" s="295"/>
      <c r="AP37" s="264"/>
      <c r="AQ37" s="278"/>
      <c r="AR37" s="366" t="str">
        <f t="shared" si="15"/>
        <v/>
      </c>
      <c r="AS37" s="269"/>
      <c r="AT37" s="271"/>
      <c r="AU37" s="363" t="str">
        <f>IF(OR(AS37="",AT37=""),"",VLOOKUP(BO37,Parameters!$B$75:$C$83,2,FALSE))</f>
        <v/>
      </c>
      <c r="AV37" s="279"/>
      <c r="AW37" s="366" t="str">
        <f t="shared" si="16"/>
        <v/>
      </c>
      <c r="AX37" s="269"/>
      <c r="AY37" s="363" t="str">
        <f t="shared" si="23"/>
        <v/>
      </c>
      <c r="AZ37" s="279"/>
      <c r="BA37" s="366" t="str">
        <f>IF(OR(AX37="",NOT(ISNUMBER(AZ37))),"",IF(AY37="Low",AZ37*4,IF(AY37="Average",AZ37*6,IF(AY37="High",AZ37*10))))</f>
        <v/>
      </c>
      <c r="BB37" s="297"/>
      <c r="BC37" s="324"/>
      <c r="BD37" s="279"/>
      <c r="BE37" s="366" t="str">
        <f t="shared" si="25"/>
        <v/>
      </c>
      <c r="BF37" s="269"/>
      <c r="BG37" s="363" t="str">
        <f t="shared" si="26"/>
        <v/>
      </c>
      <c r="BH37" s="264"/>
      <c r="BI37" s="279"/>
      <c r="BJ37" s="366" t="str">
        <f>IF(OR(BF37="",(BH37+BI37)=0,NOT(ISNUMBER(BI37)),NOT(ISNUMBER(BH37))),"",IF(BG37="Low",(BH37+BI37)*3,IF(BG37="Average",(BH37+BI37)*4,IF(BG37="High",(BH37+BI37)*6))))</f>
        <v/>
      </c>
      <c r="BK37" s="297"/>
      <c r="BL37" s="333"/>
      <c r="BM37" s="64"/>
      <c r="BN37" s="59" t="str">
        <f t="shared" si="17"/>
        <v/>
      </c>
      <c r="BO37" s="57" t="str">
        <f t="shared" si="18"/>
        <v/>
      </c>
      <c r="BP37" s="57"/>
      <c r="BQ37" s="57"/>
    </row>
    <row r="38" spans="1:69" s="58" customFormat="1" ht="16.149999999999999" customHeight="1" x14ac:dyDescent="0.25">
      <c r="A38" s="223">
        <f t="shared" si="19"/>
        <v>31</v>
      </c>
      <c r="B38" s="258" t="s">
        <v>316</v>
      </c>
      <c r="C38" s="348"/>
      <c r="D38" s="274"/>
      <c r="E38" s="363" t="str">
        <f t="shared" si="3"/>
        <v/>
      </c>
      <c r="F38" s="279"/>
      <c r="G38" s="366" t="str">
        <f t="shared" si="4"/>
        <v/>
      </c>
      <c r="H38" s="274"/>
      <c r="I38" s="264"/>
      <c r="J38" s="267"/>
      <c r="K38" s="363" t="str">
        <f t="shared" si="20"/>
        <v/>
      </c>
      <c r="L38" s="366" t="str">
        <f t="shared" si="5"/>
        <v/>
      </c>
      <c r="M38" s="274"/>
      <c r="N38" s="284"/>
      <c r="O38" s="366" t="str">
        <f t="shared" si="6"/>
        <v/>
      </c>
      <c r="P38" s="273"/>
      <c r="Q38" s="363" t="str">
        <f t="shared" si="7"/>
        <v/>
      </c>
      <c r="R38" s="278"/>
      <c r="S38" s="366" t="str">
        <f t="shared" si="8"/>
        <v/>
      </c>
      <c r="T38" s="269"/>
      <c r="U38" s="363" t="str">
        <f t="shared" si="1"/>
        <v/>
      </c>
      <c r="V38" s="279"/>
      <c r="W38" s="366" t="str">
        <f t="shared" si="9"/>
        <v/>
      </c>
      <c r="X38" s="297"/>
      <c r="Y38" s="294"/>
      <c r="Z38" s="363" t="str">
        <f t="shared" si="10"/>
        <v/>
      </c>
      <c r="AA38" s="301"/>
      <c r="AB38" s="366" t="str">
        <f t="shared" si="11"/>
        <v/>
      </c>
      <c r="AC38" s="304"/>
      <c r="AD38" s="307"/>
      <c r="AE38" s="366" t="str">
        <f t="shared" si="21"/>
        <v/>
      </c>
      <c r="AF38" s="274"/>
      <c r="AG38" s="363" t="str">
        <f t="shared" si="12"/>
        <v/>
      </c>
      <c r="AH38" s="279"/>
      <c r="AI38" s="366" t="str">
        <f t="shared" si="76"/>
        <v/>
      </c>
      <c r="AJ38" s="360"/>
      <c r="AK38" s="363" t="str">
        <f t="shared" si="22"/>
        <v/>
      </c>
      <c r="AL38" s="357"/>
      <c r="AM38" s="366" t="str">
        <f t="shared" si="14"/>
        <v/>
      </c>
      <c r="AN38" s="297"/>
      <c r="AO38" s="295"/>
      <c r="AP38" s="264"/>
      <c r="AQ38" s="278"/>
      <c r="AR38" s="366" t="str">
        <f t="shared" si="15"/>
        <v/>
      </c>
      <c r="AS38" s="269"/>
      <c r="AT38" s="271"/>
      <c r="AU38" s="363" t="str">
        <f>IF(OR(AS38="",AT38=""),"",VLOOKUP(BO38,Parameters!$B$75:$C$83,2,FALSE))</f>
        <v/>
      </c>
      <c r="AV38" s="279"/>
      <c r="AW38" s="366" t="str">
        <f t="shared" si="16"/>
        <v/>
      </c>
      <c r="AX38" s="269"/>
      <c r="AY38" s="363" t="str">
        <f t="shared" si="23"/>
        <v/>
      </c>
      <c r="AZ38" s="279"/>
      <c r="BA38" s="366" t="str">
        <f t="shared" si="24"/>
        <v/>
      </c>
      <c r="BB38" s="297"/>
      <c r="BC38" s="324"/>
      <c r="BD38" s="279"/>
      <c r="BE38" s="366" t="str">
        <f t="shared" si="25"/>
        <v/>
      </c>
      <c r="BF38" s="269"/>
      <c r="BG38" s="363" t="str">
        <f t="shared" si="26"/>
        <v/>
      </c>
      <c r="BH38" s="264"/>
      <c r="BI38" s="279"/>
      <c r="BJ38" s="366" t="str">
        <f t="shared" si="27"/>
        <v/>
      </c>
      <c r="BK38" s="297"/>
      <c r="BL38" s="333"/>
      <c r="BM38" s="64"/>
      <c r="BN38" s="59" t="str">
        <f t="shared" si="17"/>
        <v/>
      </c>
      <c r="BO38" s="57" t="str">
        <f t="shared" si="18"/>
        <v/>
      </c>
      <c r="BP38" s="57"/>
      <c r="BQ38" s="57"/>
    </row>
    <row r="39" spans="1:69" s="58" customFormat="1" ht="16.149999999999999" customHeight="1" x14ac:dyDescent="0.25">
      <c r="A39" s="223">
        <f t="shared" si="19"/>
        <v>32</v>
      </c>
      <c r="B39" s="258" t="s">
        <v>316</v>
      </c>
      <c r="C39" s="348"/>
      <c r="D39" s="274"/>
      <c r="E39" s="363" t="str">
        <f t="shared" si="3"/>
        <v/>
      </c>
      <c r="F39" s="279"/>
      <c r="G39" s="366" t="str">
        <f t="shared" si="4"/>
        <v/>
      </c>
      <c r="H39" s="274"/>
      <c r="I39" s="264"/>
      <c r="J39" s="267"/>
      <c r="K39" s="363" t="str">
        <f t="shared" si="20"/>
        <v/>
      </c>
      <c r="L39" s="366" t="str">
        <f t="shared" si="5"/>
        <v/>
      </c>
      <c r="M39" s="274"/>
      <c r="N39" s="284"/>
      <c r="O39" s="366" t="str">
        <f t="shared" si="6"/>
        <v/>
      </c>
      <c r="P39" s="273"/>
      <c r="Q39" s="363" t="str">
        <f t="shared" si="7"/>
        <v/>
      </c>
      <c r="R39" s="279"/>
      <c r="S39" s="366" t="str">
        <f t="shared" si="8"/>
        <v/>
      </c>
      <c r="T39" s="269"/>
      <c r="U39" s="363" t="str">
        <f t="shared" si="1"/>
        <v/>
      </c>
      <c r="V39" s="279"/>
      <c r="W39" s="366" t="str">
        <f t="shared" si="9"/>
        <v/>
      </c>
      <c r="X39" s="297"/>
      <c r="Y39" s="294"/>
      <c r="Z39" s="363" t="str">
        <f t="shared" si="10"/>
        <v/>
      </c>
      <c r="AA39" s="301"/>
      <c r="AB39" s="366" t="str">
        <f t="shared" si="11"/>
        <v/>
      </c>
      <c r="AC39" s="304"/>
      <c r="AD39" s="307"/>
      <c r="AE39" s="366" t="str">
        <f t="shared" si="21"/>
        <v/>
      </c>
      <c r="AF39" s="274"/>
      <c r="AG39" s="363" t="str">
        <f t="shared" si="12"/>
        <v/>
      </c>
      <c r="AH39" s="279"/>
      <c r="AI39" s="366" t="str">
        <f t="shared" si="76"/>
        <v/>
      </c>
      <c r="AJ39" s="360"/>
      <c r="AK39" s="363" t="str">
        <f t="shared" si="22"/>
        <v/>
      </c>
      <c r="AL39" s="357"/>
      <c r="AM39" s="366" t="str">
        <f t="shared" si="14"/>
        <v/>
      </c>
      <c r="AN39" s="297"/>
      <c r="AO39" s="295"/>
      <c r="AP39" s="264"/>
      <c r="AQ39" s="174"/>
      <c r="AR39" s="366" t="str">
        <f t="shared" si="15"/>
        <v/>
      </c>
      <c r="AS39" s="269"/>
      <c r="AT39" s="271"/>
      <c r="AU39" s="363" t="str">
        <f>IF(OR(AS39="",AT39=""),"",VLOOKUP(BO39,Parameters!$B$75:$C$83,2,FALSE))</f>
        <v/>
      </c>
      <c r="AV39" s="279"/>
      <c r="AW39" s="366" t="str">
        <f t="shared" si="16"/>
        <v/>
      </c>
      <c r="AX39" s="269"/>
      <c r="AY39" s="363" t="str">
        <f t="shared" si="23"/>
        <v/>
      </c>
      <c r="AZ39" s="279"/>
      <c r="BA39" s="366" t="str">
        <f t="shared" si="24"/>
        <v/>
      </c>
      <c r="BB39" s="297"/>
      <c r="BC39" s="324"/>
      <c r="BD39" s="279"/>
      <c r="BE39" s="366" t="str">
        <f t="shared" si="25"/>
        <v/>
      </c>
      <c r="BF39" s="269"/>
      <c r="BG39" s="363" t="str">
        <f t="shared" si="26"/>
        <v/>
      </c>
      <c r="BH39" s="264"/>
      <c r="BI39" s="279"/>
      <c r="BJ39" s="366" t="str">
        <f t="shared" si="27"/>
        <v/>
      </c>
      <c r="BK39" s="297"/>
      <c r="BL39" s="333"/>
      <c r="BM39" s="64"/>
      <c r="BN39" s="59" t="str">
        <f t="shared" si="17"/>
        <v/>
      </c>
      <c r="BO39" s="57" t="str">
        <f t="shared" si="18"/>
        <v/>
      </c>
      <c r="BP39" s="57"/>
      <c r="BQ39" s="57"/>
    </row>
    <row r="40" spans="1:69" s="58" customFormat="1" ht="16.149999999999999" customHeight="1" x14ac:dyDescent="0.25">
      <c r="A40" s="223">
        <f t="shared" si="19"/>
        <v>33</v>
      </c>
      <c r="B40" s="258" t="s">
        <v>316</v>
      </c>
      <c r="C40" s="348"/>
      <c r="D40" s="274"/>
      <c r="E40" s="363" t="str">
        <f t="shared" si="3"/>
        <v/>
      </c>
      <c r="F40" s="279"/>
      <c r="G40" s="366" t="str">
        <f t="shared" si="4"/>
        <v/>
      </c>
      <c r="H40" s="274"/>
      <c r="I40" s="264"/>
      <c r="J40" s="267"/>
      <c r="K40" s="363" t="str">
        <f t="shared" si="20"/>
        <v/>
      </c>
      <c r="L40" s="366" t="str">
        <f t="shared" si="5"/>
        <v/>
      </c>
      <c r="M40" s="274"/>
      <c r="N40" s="284"/>
      <c r="O40" s="366" t="str">
        <f t="shared" si="6"/>
        <v/>
      </c>
      <c r="P40" s="273"/>
      <c r="Q40" s="363" t="str">
        <f t="shared" si="7"/>
        <v/>
      </c>
      <c r="R40" s="278"/>
      <c r="S40" s="366" t="str">
        <f t="shared" si="8"/>
        <v/>
      </c>
      <c r="T40" s="269"/>
      <c r="U40" s="363" t="str">
        <f t="shared" si="1"/>
        <v/>
      </c>
      <c r="V40" s="279"/>
      <c r="W40" s="366" t="str">
        <f t="shared" si="9"/>
        <v/>
      </c>
      <c r="X40" s="297"/>
      <c r="Y40" s="294"/>
      <c r="Z40" s="363" t="str">
        <f t="shared" si="10"/>
        <v/>
      </c>
      <c r="AA40" s="301"/>
      <c r="AB40" s="366" t="str">
        <f t="shared" si="11"/>
        <v/>
      </c>
      <c r="AC40" s="304"/>
      <c r="AD40" s="307"/>
      <c r="AE40" s="366" t="str">
        <f t="shared" si="21"/>
        <v/>
      </c>
      <c r="AF40" s="274"/>
      <c r="AG40" s="363" t="str">
        <f t="shared" si="12"/>
        <v/>
      </c>
      <c r="AH40" s="279"/>
      <c r="AI40" s="366" t="str">
        <f t="shared" si="76"/>
        <v/>
      </c>
      <c r="AJ40" s="360"/>
      <c r="AK40" s="363" t="str">
        <f t="shared" si="22"/>
        <v/>
      </c>
      <c r="AL40" s="357"/>
      <c r="AM40" s="366" t="str">
        <f t="shared" si="14"/>
        <v/>
      </c>
      <c r="AN40" s="297"/>
      <c r="AO40" s="295"/>
      <c r="AP40" s="264"/>
      <c r="AQ40" s="279"/>
      <c r="AR40" s="366" t="str">
        <f t="shared" si="15"/>
        <v/>
      </c>
      <c r="AS40" s="269"/>
      <c r="AT40" s="271"/>
      <c r="AU40" s="363" t="str">
        <f>IF(OR(AS40="",AT40=""),"",VLOOKUP(BO40,Parameters!$B$75:$C$83,2,FALSE))</f>
        <v/>
      </c>
      <c r="AV40" s="279"/>
      <c r="AW40" s="366" t="str">
        <f t="shared" si="16"/>
        <v/>
      </c>
      <c r="AX40" s="269"/>
      <c r="AY40" s="363" t="str">
        <f t="shared" si="23"/>
        <v/>
      </c>
      <c r="AZ40" s="279"/>
      <c r="BA40" s="366" t="str">
        <f t="shared" si="24"/>
        <v/>
      </c>
      <c r="BB40" s="297"/>
      <c r="BC40" s="324"/>
      <c r="BD40" s="279"/>
      <c r="BE40" s="366" t="str">
        <f t="shared" si="25"/>
        <v/>
      </c>
      <c r="BF40" s="269"/>
      <c r="BG40" s="363" t="str">
        <f t="shared" si="26"/>
        <v/>
      </c>
      <c r="BH40" s="264"/>
      <c r="BI40" s="279"/>
      <c r="BJ40" s="366" t="str">
        <f t="shared" si="27"/>
        <v/>
      </c>
      <c r="BK40" s="297"/>
      <c r="BL40" s="333"/>
      <c r="BM40" s="64"/>
      <c r="BN40" s="59" t="str">
        <f t="shared" si="17"/>
        <v/>
      </c>
      <c r="BO40" s="57" t="str">
        <f t="shared" si="18"/>
        <v/>
      </c>
      <c r="BP40" s="57"/>
      <c r="BQ40" s="57"/>
    </row>
    <row r="41" spans="1:69" s="58" customFormat="1" ht="16.149999999999999" customHeight="1" x14ac:dyDescent="0.25">
      <c r="A41" s="223">
        <f t="shared" si="19"/>
        <v>34</v>
      </c>
      <c r="B41" s="258" t="s">
        <v>316</v>
      </c>
      <c r="C41" s="348"/>
      <c r="D41" s="274"/>
      <c r="E41" s="363" t="str">
        <f t="shared" si="3"/>
        <v/>
      </c>
      <c r="F41" s="279"/>
      <c r="G41" s="366" t="str">
        <f t="shared" si="4"/>
        <v/>
      </c>
      <c r="H41" s="274"/>
      <c r="I41" s="264"/>
      <c r="J41" s="267"/>
      <c r="K41" s="363" t="str">
        <f t="shared" si="20"/>
        <v/>
      </c>
      <c r="L41" s="366" t="str">
        <f t="shared" si="5"/>
        <v/>
      </c>
      <c r="M41" s="274"/>
      <c r="N41" s="284"/>
      <c r="O41" s="366" t="str">
        <f t="shared" si="6"/>
        <v/>
      </c>
      <c r="P41" s="273"/>
      <c r="Q41" s="363" t="str">
        <f t="shared" si="7"/>
        <v/>
      </c>
      <c r="R41" s="278"/>
      <c r="S41" s="366" t="str">
        <f t="shared" si="8"/>
        <v/>
      </c>
      <c r="T41" s="269"/>
      <c r="U41" s="363" t="str">
        <f t="shared" si="1"/>
        <v/>
      </c>
      <c r="V41" s="279"/>
      <c r="W41" s="366" t="str">
        <f t="shared" si="9"/>
        <v/>
      </c>
      <c r="X41" s="297"/>
      <c r="Y41" s="294"/>
      <c r="Z41" s="363" t="str">
        <f t="shared" si="10"/>
        <v/>
      </c>
      <c r="AA41" s="301"/>
      <c r="AB41" s="366" t="str">
        <f t="shared" si="11"/>
        <v/>
      </c>
      <c r="AC41" s="304"/>
      <c r="AD41" s="307"/>
      <c r="AE41" s="366" t="str">
        <f t="shared" si="21"/>
        <v/>
      </c>
      <c r="AF41" s="274"/>
      <c r="AG41" s="363" t="str">
        <f t="shared" si="12"/>
        <v/>
      </c>
      <c r="AH41" s="279"/>
      <c r="AI41" s="366" t="str">
        <f t="shared" si="76"/>
        <v/>
      </c>
      <c r="AJ41" s="360"/>
      <c r="AK41" s="363" t="str">
        <f t="shared" si="22"/>
        <v/>
      </c>
      <c r="AL41" s="357"/>
      <c r="AM41" s="366" t="str">
        <f t="shared" si="14"/>
        <v/>
      </c>
      <c r="AN41" s="297"/>
      <c r="AO41" s="295"/>
      <c r="AP41" s="264"/>
      <c r="AQ41" s="278"/>
      <c r="AR41" s="366" t="str">
        <f t="shared" si="15"/>
        <v/>
      </c>
      <c r="AS41" s="269"/>
      <c r="AT41" s="271"/>
      <c r="AU41" s="363" t="str">
        <f>IF(OR(AS41="",AT41=""),"",VLOOKUP(BO41,Parameters!$B$75:$C$83,2,FALSE))</f>
        <v/>
      </c>
      <c r="AV41" s="279"/>
      <c r="AW41" s="366" t="str">
        <f t="shared" si="16"/>
        <v/>
      </c>
      <c r="AX41" s="269"/>
      <c r="AY41" s="363" t="str">
        <f t="shared" si="23"/>
        <v/>
      </c>
      <c r="AZ41" s="279"/>
      <c r="BA41" s="366" t="str">
        <f t="shared" si="24"/>
        <v/>
      </c>
      <c r="BB41" s="297"/>
      <c r="BC41" s="324"/>
      <c r="BD41" s="279"/>
      <c r="BE41" s="366" t="str">
        <f t="shared" si="25"/>
        <v/>
      </c>
      <c r="BF41" s="269"/>
      <c r="BG41" s="363" t="str">
        <f t="shared" si="26"/>
        <v/>
      </c>
      <c r="BH41" s="264"/>
      <c r="BI41" s="279"/>
      <c r="BJ41" s="366" t="str">
        <f t="shared" si="27"/>
        <v/>
      </c>
      <c r="BK41" s="297"/>
      <c r="BL41" s="333"/>
      <c r="BM41" s="64"/>
      <c r="BN41" s="59" t="str">
        <f t="shared" si="17"/>
        <v/>
      </c>
      <c r="BO41" s="57" t="str">
        <f t="shared" si="18"/>
        <v/>
      </c>
      <c r="BP41" s="57"/>
      <c r="BQ41" s="57"/>
    </row>
    <row r="42" spans="1:69" s="58" customFormat="1" ht="16.149999999999999" customHeight="1" x14ac:dyDescent="0.25">
      <c r="A42" s="223">
        <f t="shared" si="19"/>
        <v>35</v>
      </c>
      <c r="B42" s="258" t="s">
        <v>316</v>
      </c>
      <c r="C42" s="349"/>
      <c r="D42" s="283"/>
      <c r="E42" s="363" t="str">
        <f t="shared" si="3"/>
        <v/>
      </c>
      <c r="F42" s="280"/>
      <c r="G42" s="366" t="str">
        <f t="shared" si="4"/>
        <v/>
      </c>
      <c r="H42" s="274"/>
      <c r="I42" s="265"/>
      <c r="J42" s="267"/>
      <c r="K42" s="363" t="str">
        <f t="shared" si="20"/>
        <v/>
      </c>
      <c r="L42" s="366" t="str">
        <f t="shared" si="5"/>
        <v/>
      </c>
      <c r="M42" s="283"/>
      <c r="N42" s="289"/>
      <c r="O42" s="366" t="str">
        <f t="shared" si="6"/>
        <v/>
      </c>
      <c r="P42" s="273"/>
      <c r="Q42" s="363" t="str">
        <f t="shared" si="7"/>
        <v/>
      </c>
      <c r="R42" s="278"/>
      <c r="S42" s="366" t="str">
        <f t="shared" si="8"/>
        <v/>
      </c>
      <c r="T42" s="269"/>
      <c r="U42" s="363" t="str">
        <f t="shared" si="1"/>
        <v/>
      </c>
      <c r="V42" s="279"/>
      <c r="W42" s="366" t="str">
        <f t="shared" si="9"/>
        <v/>
      </c>
      <c r="X42" s="299"/>
      <c r="Y42" s="294"/>
      <c r="Z42" s="363" t="str">
        <f t="shared" si="10"/>
        <v/>
      </c>
      <c r="AA42" s="301"/>
      <c r="AB42" s="366" t="str">
        <f t="shared" si="11"/>
        <v/>
      </c>
      <c r="AC42" s="304"/>
      <c r="AD42" s="307"/>
      <c r="AE42" s="366" t="str">
        <f t="shared" si="21"/>
        <v/>
      </c>
      <c r="AF42" s="283"/>
      <c r="AG42" s="363" t="str">
        <f t="shared" si="12"/>
        <v/>
      </c>
      <c r="AH42" s="280"/>
      <c r="AI42" s="366" t="str">
        <f t="shared" si="76"/>
        <v/>
      </c>
      <c r="AJ42" s="361"/>
      <c r="AK42" s="363" t="str">
        <f t="shared" si="22"/>
        <v/>
      </c>
      <c r="AL42" s="358"/>
      <c r="AM42" s="366" t="str">
        <f t="shared" si="14"/>
        <v/>
      </c>
      <c r="AN42" s="299"/>
      <c r="AO42" s="315"/>
      <c r="AP42" s="265"/>
      <c r="AQ42" s="278"/>
      <c r="AR42" s="366" t="str">
        <f t="shared" si="15"/>
        <v/>
      </c>
      <c r="AS42" s="270"/>
      <c r="AT42" s="272"/>
      <c r="AU42" s="363" t="str">
        <f>IF(OR(AS42="",AT42=""),"",VLOOKUP(BO42,Parameters!$B$75:$C$83,2,FALSE))</f>
        <v/>
      </c>
      <c r="AV42" s="280"/>
      <c r="AW42" s="366" t="str">
        <f t="shared" si="16"/>
        <v/>
      </c>
      <c r="AX42" s="269"/>
      <c r="AY42" s="363" t="str">
        <f t="shared" si="23"/>
        <v/>
      </c>
      <c r="AZ42" s="280"/>
      <c r="BA42" s="366" t="str">
        <f>IF(OR(AX42="",NOT(ISNUMBER(AZ42))),"",IF(AY42="Low",AZ42*4,IF(AY42="Average",AZ42*6,IF(AY42="High",AZ42*10))))</f>
        <v/>
      </c>
      <c r="BB42" s="299"/>
      <c r="BC42" s="325"/>
      <c r="BD42" s="280"/>
      <c r="BE42" s="366" t="str">
        <f t="shared" si="25"/>
        <v/>
      </c>
      <c r="BF42" s="270"/>
      <c r="BG42" s="363" t="str">
        <f t="shared" si="26"/>
        <v/>
      </c>
      <c r="BH42" s="265"/>
      <c r="BI42" s="280"/>
      <c r="BJ42" s="366" t="str">
        <f>IF(OR(BF42="",(BH42+BI42)=0,NOT(ISNUMBER(BI42)),NOT(ISNUMBER(BH42))),"",IF(BG42="Low",(BH42+BI42)*3,IF(BG42="Average",(BH42+BI42)*4,IF(BG42="High",(BH42+BI42)*6))))</f>
        <v/>
      </c>
      <c r="BK42" s="299"/>
      <c r="BL42" s="334"/>
      <c r="BM42" s="64"/>
      <c r="BN42" s="59" t="str">
        <f t="shared" si="17"/>
        <v/>
      </c>
      <c r="BO42" s="57" t="str">
        <f t="shared" si="18"/>
        <v/>
      </c>
      <c r="BP42" s="57"/>
      <c r="BQ42" s="57"/>
    </row>
    <row r="43" spans="1:69" s="58" customFormat="1" ht="16.149999999999999" customHeight="1" x14ac:dyDescent="0.25">
      <c r="A43" s="223">
        <f t="shared" si="19"/>
        <v>36</v>
      </c>
      <c r="B43" s="258" t="s">
        <v>316</v>
      </c>
      <c r="C43" s="349"/>
      <c r="D43" s="283"/>
      <c r="E43" s="363" t="str">
        <f t="shared" si="3"/>
        <v/>
      </c>
      <c r="F43" s="280"/>
      <c r="G43" s="366" t="str">
        <f t="shared" si="4"/>
        <v/>
      </c>
      <c r="H43" s="283"/>
      <c r="I43" s="265"/>
      <c r="J43" s="267"/>
      <c r="K43" s="363" t="str">
        <f t="shared" si="20"/>
        <v/>
      </c>
      <c r="L43" s="366" t="str">
        <f t="shared" si="5"/>
        <v/>
      </c>
      <c r="M43" s="283"/>
      <c r="N43" s="289"/>
      <c r="O43" s="366" t="str">
        <f t="shared" si="6"/>
        <v/>
      </c>
      <c r="P43" s="273"/>
      <c r="Q43" s="363" t="str">
        <f t="shared" si="7"/>
        <v/>
      </c>
      <c r="R43" s="278"/>
      <c r="S43" s="366" t="str">
        <f t="shared" si="8"/>
        <v/>
      </c>
      <c r="T43" s="269"/>
      <c r="U43" s="363" t="str">
        <f t="shared" si="1"/>
        <v/>
      </c>
      <c r="V43" s="279"/>
      <c r="W43" s="366" t="str">
        <f t="shared" si="9"/>
        <v/>
      </c>
      <c r="X43" s="299"/>
      <c r="Y43" s="294"/>
      <c r="Z43" s="363" t="str">
        <f t="shared" si="10"/>
        <v/>
      </c>
      <c r="AA43" s="302"/>
      <c r="AB43" s="366" t="str">
        <f t="shared" si="11"/>
        <v/>
      </c>
      <c r="AC43" s="304"/>
      <c r="AD43" s="307"/>
      <c r="AE43" s="366" t="str">
        <f t="shared" si="21"/>
        <v/>
      </c>
      <c r="AF43" s="283"/>
      <c r="AG43" s="363" t="str">
        <f t="shared" si="12"/>
        <v/>
      </c>
      <c r="AH43" s="280"/>
      <c r="AI43" s="366" t="str">
        <f t="shared" si="76"/>
        <v/>
      </c>
      <c r="AJ43" s="361"/>
      <c r="AK43" s="363" t="str">
        <f t="shared" si="22"/>
        <v/>
      </c>
      <c r="AL43" s="358"/>
      <c r="AM43" s="366" t="str">
        <f t="shared" si="14"/>
        <v/>
      </c>
      <c r="AN43" s="299"/>
      <c r="AO43" s="315"/>
      <c r="AP43" s="265"/>
      <c r="AQ43" s="278"/>
      <c r="AR43" s="366" t="str">
        <f t="shared" si="15"/>
        <v/>
      </c>
      <c r="AS43" s="269"/>
      <c r="AT43" s="272"/>
      <c r="AU43" s="363" t="str">
        <f>IF(OR(AS43="",AT43=""),"",VLOOKUP(BO43,Parameters!$B$75:$C$83,2,FALSE))</f>
        <v/>
      </c>
      <c r="AV43" s="280"/>
      <c r="AW43" s="366" t="str">
        <f t="shared" si="16"/>
        <v/>
      </c>
      <c r="AX43" s="270"/>
      <c r="AY43" s="363" t="str">
        <f t="shared" si="23"/>
        <v/>
      </c>
      <c r="AZ43" s="280"/>
      <c r="BA43" s="366" t="str">
        <f>IF(OR(AX43="",NOT(ISNUMBER(AZ43))),"",IF(AY43="Low",AZ43*4,IF(AY43="Average",AZ43*6,IF(AY43="High",AZ43*10))))</f>
        <v/>
      </c>
      <c r="BB43" s="299"/>
      <c r="BC43" s="325"/>
      <c r="BD43" s="280"/>
      <c r="BE43" s="366" t="str">
        <f t="shared" si="25"/>
        <v/>
      </c>
      <c r="BF43" s="270"/>
      <c r="BG43" s="363" t="str">
        <f t="shared" si="26"/>
        <v/>
      </c>
      <c r="BH43" s="265"/>
      <c r="BI43" s="280"/>
      <c r="BJ43" s="366" t="str">
        <f>IF(OR(BF43="",(BH43+BI43)=0,NOT(ISNUMBER(BI43)),NOT(ISNUMBER(BH43))),"",IF(BG43="Low",(BH43+BI43)*3,IF(BG43="Average",(BH43+BI43)*4,IF(BG43="High",(BH43+BI43)*6))))</f>
        <v/>
      </c>
      <c r="BK43" s="297"/>
      <c r="BL43" s="334"/>
      <c r="BM43" s="64"/>
      <c r="BN43" s="59" t="str">
        <f t="shared" si="17"/>
        <v/>
      </c>
      <c r="BO43" s="57" t="str">
        <f t="shared" si="18"/>
        <v/>
      </c>
      <c r="BP43" s="57"/>
      <c r="BQ43" s="57"/>
    </row>
    <row r="44" spans="1:69" s="58" customFormat="1" ht="16.149999999999999" customHeight="1" x14ac:dyDescent="0.25">
      <c r="A44" s="223">
        <f t="shared" si="19"/>
        <v>37</v>
      </c>
      <c r="B44" s="258" t="s">
        <v>316</v>
      </c>
      <c r="C44" s="349"/>
      <c r="D44" s="283"/>
      <c r="E44" s="363" t="str">
        <f t="shared" si="3"/>
        <v/>
      </c>
      <c r="F44" s="280"/>
      <c r="G44" s="366" t="str">
        <f t="shared" si="4"/>
        <v/>
      </c>
      <c r="H44" s="283"/>
      <c r="I44" s="265"/>
      <c r="J44" s="267"/>
      <c r="K44" s="363" t="str">
        <f t="shared" si="20"/>
        <v/>
      </c>
      <c r="L44" s="366" t="str">
        <f t="shared" si="5"/>
        <v/>
      </c>
      <c r="M44" s="283"/>
      <c r="N44" s="289"/>
      <c r="O44" s="366" t="str">
        <f t="shared" si="6"/>
        <v/>
      </c>
      <c r="P44" s="273"/>
      <c r="Q44" s="363" t="str">
        <f t="shared" si="7"/>
        <v/>
      </c>
      <c r="R44" s="278"/>
      <c r="S44" s="366" t="str">
        <f t="shared" si="8"/>
        <v/>
      </c>
      <c r="T44" s="269"/>
      <c r="U44" s="363" t="str">
        <f t="shared" si="1"/>
        <v/>
      </c>
      <c r="V44" s="279"/>
      <c r="W44" s="366" t="str">
        <f t="shared" si="9"/>
        <v/>
      </c>
      <c r="X44" s="299"/>
      <c r="Y44" s="294"/>
      <c r="Z44" s="363" t="str">
        <f t="shared" si="10"/>
        <v/>
      </c>
      <c r="AA44" s="301"/>
      <c r="AB44" s="366" t="str">
        <f t="shared" si="11"/>
        <v/>
      </c>
      <c r="AC44" s="304"/>
      <c r="AD44" s="307"/>
      <c r="AE44" s="366" t="str">
        <f t="shared" si="21"/>
        <v/>
      </c>
      <c r="AF44" s="283"/>
      <c r="AG44" s="363" t="str">
        <f t="shared" si="12"/>
        <v/>
      </c>
      <c r="AH44" s="280"/>
      <c r="AI44" s="366" t="str">
        <f t="shared" si="76"/>
        <v/>
      </c>
      <c r="AJ44" s="361"/>
      <c r="AK44" s="363" t="str">
        <f t="shared" si="22"/>
        <v/>
      </c>
      <c r="AL44" s="358"/>
      <c r="AM44" s="366" t="str">
        <f t="shared" si="14"/>
        <v/>
      </c>
      <c r="AN44" s="299"/>
      <c r="AO44" s="315"/>
      <c r="AP44" s="265"/>
      <c r="AQ44" s="278"/>
      <c r="AR44" s="366" t="str">
        <f t="shared" si="15"/>
        <v/>
      </c>
      <c r="AS44" s="270"/>
      <c r="AT44" s="272"/>
      <c r="AU44" s="363" t="str">
        <f>IF(OR(AS44="",AT44=""),"",VLOOKUP(BO44,Parameters!$B$75:$C$83,2,FALSE))</f>
        <v/>
      </c>
      <c r="AV44" s="280"/>
      <c r="AW44" s="366" t="str">
        <f t="shared" si="16"/>
        <v/>
      </c>
      <c r="AX44" s="270"/>
      <c r="AY44" s="363" t="str">
        <f t="shared" si="23"/>
        <v/>
      </c>
      <c r="AZ44" s="280"/>
      <c r="BA44" s="366" t="str">
        <f>IF(OR(AX44="",NOT(ISNUMBER(AZ44))),"",IF(AY44="Low",AZ44*4,IF(AY44="Average",AZ44*6,IF(AY44="High",AZ44*10))))</f>
        <v/>
      </c>
      <c r="BB44" s="299"/>
      <c r="BC44" s="325"/>
      <c r="BD44" s="280"/>
      <c r="BE44" s="366" t="str">
        <f t="shared" si="25"/>
        <v/>
      </c>
      <c r="BF44" s="270"/>
      <c r="BG44" s="363" t="str">
        <f t="shared" si="26"/>
        <v/>
      </c>
      <c r="BH44" s="265"/>
      <c r="BI44" s="280"/>
      <c r="BJ44" s="366" t="str">
        <f>IF(OR(BF44="",(BH44+BI44)=0,NOT(ISNUMBER(BI44)),NOT(ISNUMBER(BH44))),"",IF(BG44="Low",(BH44+BI44)*3,IF(BG44="Average",(BH44+BI44)*4,IF(BG44="High",(BH44+BI44)*6))))</f>
        <v/>
      </c>
      <c r="BK44" s="299"/>
      <c r="BL44" s="334"/>
      <c r="BM44" s="64"/>
      <c r="BN44" s="59" t="str">
        <f t="shared" si="17"/>
        <v/>
      </c>
      <c r="BO44" s="57" t="str">
        <f t="shared" si="18"/>
        <v/>
      </c>
      <c r="BP44" s="57"/>
      <c r="BQ44" s="57"/>
    </row>
    <row r="45" spans="1:69" s="58" customFormat="1" ht="16.149999999999999" customHeight="1" x14ac:dyDescent="0.25">
      <c r="A45" s="323">
        <f t="shared" si="19"/>
        <v>38</v>
      </c>
      <c r="B45" s="322" t="s">
        <v>316</v>
      </c>
      <c r="C45" s="349"/>
      <c r="D45" s="283"/>
      <c r="E45" s="382" t="str">
        <f t="shared" ref="E45:E46" si="77">IF(D45="","",(IF(D45="1 to 2","Low",IF(D45="3 to 5","Average","High"))))</f>
        <v/>
      </c>
      <c r="F45" s="280"/>
      <c r="G45" s="368" t="str">
        <f t="shared" ref="G45:G46" si="78">IF(OR(E45="",NOT(ISNUMBER(F45))),"",IF(E45="Low",F45*2,IF(E45="Average",F45*3,IF(E45="High",F45*4))))</f>
        <v/>
      </c>
      <c r="H45" s="283"/>
      <c r="I45" s="265"/>
      <c r="J45" s="266"/>
      <c r="K45" s="363" t="str">
        <f t="shared" ref="K45:K46" si="79">IF(J45="","",IF(J45="0 to 3","Low",IF(J45="4 to 9","Average","High")))</f>
        <v/>
      </c>
      <c r="L45" s="366" t="str">
        <f t="shared" ref="L45:L46" si="80">IF(OR(H45="",K45="",NOT(ISNUMBER(I45))),"",IF(H45="Logical",IF(K45="Low",4*I45,IF(K45="Average",6*I45,IF(K45="High",10*I45))),IF(H45="Mathematical",IF(K45="Low",3*I45,IF(K45="Average",4*I45,IF(K45="High",7*I45,"Error"))))))</f>
        <v/>
      </c>
      <c r="M45" s="283"/>
      <c r="N45" s="289"/>
      <c r="O45" s="366" t="str">
        <f t="shared" ref="O45:O46" si="81">IF(OR(M45="",N45="",NOT(ISNUMBER(N45))),"",IF(M45="Low",N45*2,IF(M45="Average",N45*3,IF(M45="High",N45*5))))</f>
        <v/>
      </c>
      <c r="P45" s="276"/>
      <c r="Q45" s="363" t="str">
        <f t="shared" ref="Q45:Q46" si="82">IF(P45="","",IF(P45="1 to 3","Low",IF(P45="4 to 9","Average","High")))</f>
        <v/>
      </c>
      <c r="R45" s="277"/>
      <c r="S45" s="366" t="str">
        <f t="shared" ref="S45:S46" si="83">IF(OR(R45="",NOT(ISNUMBER(R45))),"",IF(P45="","",IF(Q45="Low",R45*4,IF(Q45="Average",R45*6,IF(Q45="High",R45*10)))))</f>
        <v/>
      </c>
      <c r="T45" s="270"/>
      <c r="U45" s="363" t="str">
        <f t="shared" ref="U45:U46" si="84">IF(T45="","",IF(T45="1 to 10","Low",IF(T45="11 to 29","Average","High")))</f>
        <v/>
      </c>
      <c r="V45" s="280"/>
      <c r="W45" s="366" t="str">
        <f t="shared" ref="W45:W46" si="85">IF(OR(T45="",V45="",NOT(ISNUMBER(V45))),"",IF(U45="Low",V45*6,IF(U45="Average",V45*8,IF(U45="High",V45*12))))</f>
        <v/>
      </c>
      <c r="X45" s="299"/>
      <c r="Y45" s="383"/>
      <c r="Z45" s="363" t="str">
        <f t="shared" ref="Z45:Z46" si="86">IF(Y45="","",IF(Y45="1 to 9","Low",IF(Y45="10 to 15","Average","High")))</f>
        <v/>
      </c>
      <c r="AA45" s="384"/>
      <c r="AB45" s="366" t="str">
        <f t="shared" ref="AB45:AB46" si="87">IF(OR(Z45="",NOT(ISNUMBER(AA45))),"",IF(Z45="Low",AA45*2,IF(Z45="Average",AA45*3,IF(Z45="High",AA45*4))))</f>
        <v/>
      </c>
      <c r="AC45" s="385"/>
      <c r="AD45" s="386"/>
      <c r="AE45" s="366" t="str">
        <f t="shared" ref="AE45:AE46" si="88">IFERROR(ROUND(IF(AC45="No",AD45/16,IF(AC45="yes",(2+(AD45/16)),"")),1),"")</f>
        <v/>
      </c>
      <c r="AF45" s="283"/>
      <c r="AG45" s="363" t="str">
        <f t="shared" ref="AG45:AG46" si="89">IF(AF45="","",IF(AF45="1 to 4","Low",IF(AF45="5 to 15","Average","High")))</f>
        <v/>
      </c>
      <c r="AH45" s="280"/>
      <c r="AI45" s="366" t="str">
        <f t="shared" ref="AI45:AI46" si="90">IF(OR(AG45="",NOT(ISNUMBER(AH45))),"",IF(AG45="Low",AH45*3,IF(AG45="Average",AH45*4,IF(AG45="High",AH45*6))))</f>
        <v/>
      </c>
      <c r="AJ45" s="361"/>
      <c r="AK45" s="363" t="str">
        <f t="shared" ref="AK45:AK46" si="91">IF(AJ45="","",IF(AJ45="1 to 5","Low",IF(AJ45="6 to 19","Average","High")))</f>
        <v/>
      </c>
      <c r="AL45" s="358"/>
      <c r="AM45" s="366" t="str">
        <f t="shared" ref="AM45:AM46" si="92">IF(OR(AK45="",NOT(ISNUMBER(AL45))),"",IF(AK45="Low",AL45*3,IF(AK45="Average",AL45*4,IF(AK45="High",AL45*6))))</f>
        <v/>
      </c>
      <c r="AN45" s="299"/>
      <c r="AO45" s="315"/>
      <c r="AP45" s="265"/>
      <c r="AQ45" s="277"/>
      <c r="AR45" s="366" t="str">
        <f t="shared" ref="AR45:AR46" si="93">IF(BN45="","",IF(BN45="BA","TBD",IF(BN45="AA",IF(AP45=2,20,IF(AP45=3,30,IF(AP45&gt;3,40))),IF(BN45="AB",IF(AP45=2,40,IF(AP45=3,60,IF(AP45&gt;3,80))),IF(BN45="AC",IF(AP45=2,10,IF(AP45=3,20,IF(AP45&gt;3,30))))))))</f>
        <v/>
      </c>
      <c r="AS45" s="270"/>
      <c r="AT45" s="272"/>
      <c r="AU45" s="363" t="str">
        <f>IF(OR(AS45="",AT45=""),"",VLOOKUP(BO45,Parameters!$B$75:$C$83,2,FALSE))</f>
        <v/>
      </c>
      <c r="AV45" s="280"/>
      <c r="AW45" s="366" t="str">
        <f t="shared" ref="AW45:AW46" si="94">IF(AU45="","",IF(AU45="Low",AV45*6,IF(AU45="Average",AV45*9,IF(AU45="High",AV45*12))))</f>
        <v/>
      </c>
      <c r="AX45" s="270"/>
      <c r="AY45" s="363" t="str">
        <f t="shared" ref="AY45:AY46" si="95">IF(AX45="","",IF(AX45="1 to 3","Low",IF(AX45="4 to 9","Average","High")))</f>
        <v/>
      </c>
      <c r="AZ45" s="280"/>
      <c r="BA45" s="366" t="str">
        <f t="shared" ref="BA45:BA46" si="96">IF(OR(AX45="",NOT(ISNUMBER(AZ45))),"",IF(AY45="Low",AZ45*4,IF(AY45="Average",AZ45*6,IF(AY45="High",AZ45*10))))</f>
        <v/>
      </c>
      <c r="BB45" s="299"/>
      <c r="BC45" s="325"/>
      <c r="BD45" s="280"/>
      <c r="BE45" s="366" t="str">
        <f t="shared" ref="BE45:BE46" si="97">IF(AND(NOT(ISNUMBER(BD45)),NOT(ISNUMBER(BC45))),"",(BC45*3+BD45*4))</f>
        <v/>
      </c>
      <c r="BF45" s="270"/>
      <c r="BG45" s="363" t="str">
        <f t="shared" ref="BG45:BG46" si="98">IF(BF45="","",IF(BF45="1 to 5","Low",IF(BF45="6 to 19","Average","High")))</f>
        <v/>
      </c>
      <c r="BH45" s="265"/>
      <c r="BI45" s="280"/>
      <c r="BJ45" s="366" t="str">
        <f t="shared" ref="BJ45:BJ46" si="99">IF(OR(BF45="",(BH45+BI45)=0,NOT(ISNUMBER(BI45)),NOT(ISNUMBER(BH45))),"",IF(BG45="Low",(BH45+BI45)*3,IF(BG45="Average",(BH45+BI45)*4,IF(BG45="High",(BH45+BI45)*6))))</f>
        <v/>
      </c>
      <c r="BK45" s="299"/>
      <c r="BL45" s="334"/>
      <c r="BM45" s="64"/>
      <c r="BN45" s="59" t="str">
        <f t="shared" ref="BN45:BN46" si="100">IF(AO45="","",IF(AO45="Software Platform",IF(AQ45="Same family","AA",IF(AQ45="Different Family","AB","AC")),IF(AO45="Hardware Platform","BA")))</f>
        <v/>
      </c>
      <c r="BO45" s="57" t="str">
        <f t="shared" ref="BO45:BO46" si="101">AT45&amp;AS45</f>
        <v/>
      </c>
      <c r="BP45" s="57"/>
      <c r="BQ45" s="57"/>
    </row>
    <row r="46" spans="1:69" s="58" customFormat="1" ht="16.149999999999999" customHeight="1" x14ac:dyDescent="0.25">
      <c r="A46" s="323">
        <f t="shared" si="19"/>
        <v>39</v>
      </c>
      <c r="B46" s="322" t="s">
        <v>316</v>
      </c>
      <c r="C46" s="349"/>
      <c r="D46" s="283"/>
      <c r="E46" s="382" t="str">
        <f t="shared" si="77"/>
        <v/>
      </c>
      <c r="F46" s="280"/>
      <c r="G46" s="368" t="str">
        <f t="shared" si="78"/>
        <v/>
      </c>
      <c r="H46" s="283"/>
      <c r="I46" s="265"/>
      <c r="J46" s="266"/>
      <c r="K46" s="363" t="str">
        <f t="shared" si="79"/>
        <v/>
      </c>
      <c r="L46" s="366" t="str">
        <f t="shared" si="80"/>
        <v/>
      </c>
      <c r="M46" s="283"/>
      <c r="N46" s="289"/>
      <c r="O46" s="366" t="str">
        <f t="shared" si="81"/>
        <v/>
      </c>
      <c r="P46" s="276"/>
      <c r="Q46" s="363" t="str">
        <f t="shared" si="82"/>
        <v/>
      </c>
      <c r="R46" s="277"/>
      <c r="S46" s="366" t="str">
        <f t="shared" si="83"/>
        <v/>
      </c>
      <c r="T46" s="270"/>
      <c r="U46" s="363" t="str">
        <f t="shared" si="84"/>
        <v/>
      </c>
      <c r="V46" s="280"/>
      <c r="W46" s="366" t="str">
        <f t="shared" si="85"/>
        <v/>
      </c>
      <c r="X46" s="299"/>
      <c r="Y46" s="383"/>
      <c r="Z46" s="363" t="str">
        <f t="shared" si="86"/>
        <v/>
      </c>
      <c r="AA46" s="384"/>
      <c r="AB46" s="366" t="str">
        <f t="shared" si="87"/>
        <v/>
      </c>
      <c r="AC46" s="385"/>
      <c r="AD46" s="386"/>
      <c r="AE46" s="366" t="str">
        <f t="shared" si="88"/>
        <v/>
      </c>
      <c r="AF46" s="283"/>
      <c r="AG46" s="363" t="str">
        <f t="shared" si="89"/>
        <v/>
      </c>
      <c r="AH46" s="280"/>
      <c r="AI46" s="366" t="str">
        <f t="shared" si="90"/>
        <v/>
      </c>
      <c r="AJ46" s="361"/>
      <c r="AK46" s="363" t="str">
        <f t="shared" si="91"/>
        <v/>
      </c>
      <c r="AL46" s="358"/>
      <c r="AM46" s="366" t="str">
        <f t="shared" si="92"/>
        <v/>
      </c>
      <c r="AN46" s="299"/>
      <c r="AO46" s="315"/>
      <c r="AP46" s="265"/>
      <c r="AQ46" s="277"/>
      <c r="AR46" s="366" t="str">
        <f t="shared" si="93"/>
        <v/>
      </c>
      <c r="AS46" s="270"/>
      <c r="AT46" s="272"/>
      <c r="AU46" s="363" t="str">
        <f>IF(OR(AS46="",AT46=""),"",VLOOKUP(BO46,Parameters!$B$75:$C$83,2,FALSE))</f>
        <v/>
      </c>
      <c r="AV46" s="280"/>
      <c r="AW46" s="366" t="str">
        <f t="shared" si="94"/>
        <v/>
      </c>
      <c r="AX46" s="270"/>
      <c r="AY46" s="363" t="str">
        <f t="shared" si="95"/>
        <v/>
      </c>
      <c r="AZ46" s="280"/>
      <c r="BA46" s="366" t="str">
        <f t="shared" si="96"/>
        <v/>
      </c>
      <c r="BB46" s="299"/>
      <c r="BC46" s="325"/>
      <c r="BD46" s="280"/>
      <c r="BE46" s="366" t="str">
        <f t="shared" si="97"/>
        <v/>
      </c>
      <c r="BF46" s="270"/>
      <c r="BG46" s="363" t="str">
        <f t="shared" si="98"/>
        <v/>
      </c>
      <c r="BH46" s="265"/>
      <c r="BI46" s="280"/>
      <c r="BJ46" s="366" t="str">
        <f t="shared" si="99"/>
        <v/>
      </c>
      <c r="BK46" s="299"/>
      <c r="BL46" s="334"/>
      <c r="BM46" s="64"/>
      <c r="BN46" s="59" t="str">
        <f t="shared" si="100"/>
        <v/>
      </c>
      <c r="BO46" s="57" t="str">
        <f t="shared" si="101"/>
        <v/>
      </c>
      <c r="BP46" s="57"/>
      <c r="BQ46" s="57"/>
    </row>
    <row r="47" spans="1:69" s="58" customFormat="1" ht="16.149999999999999" customHeight="1" thickBot="1" x14ac:dyDescent="0.3">
      <c r="A47" s="323">
        <f t="shared" si="19"/>
        <v>40</v>
      </c>
      <c r="B47" s="322" t="s">
        <v>316</v>
      </c>
      <c r="C47" s="350"/>
      <c r="D47" s="291"/>
      <c r="E47" s="365" t="str">
        <f t="shared" si="3"/>
        <v/>
      </c>
      <c r="F47" s="287"/>
      <c r="G47" s="368" t="str">
        <f t="shared" si="4"/>
        <v/>
      </c>
      <c r="H47" s="283"/>
      <c r="I47" s="265"/>
      <c r="J47" s="266"/>
      <c r="K47" s="363" t="str">
        <f t="shared" si="20"/>
        <v/>
      </c>
      <c r="L47" s="366" t="str">
        <f t="shared" si="5"/>
        <v/>
      </c>
      <c r="M47" s="283"/>
      <c r="N47" s="290"/>
      <c r="O47" s="366" t="str">
        <f t="shared" si="6"/>
        <v/>
      </c>
      <c r="P47" s="291"/>
      <c r="Q47" s="363" t="str">
        <f t="shared" si="7"/>
        <v/>
      </c>
      <c r="R47" s="287"/>
      <c r="S47" s="366" t="str">
        <f t="shared" si="8"/>
        <v/>
      </c>
      <c r="T47" s="292"/>
      <c r="U47" s="363" t="str">
        <f t="shared" si="1"/>
        <v/>
      </c>
      <c r="V47" s="287"/>
      <c r="W47" s="366" t="str">
        <f t="shared" si="9"/>
        <v/>
      </c>
      <c r="X47" s="300"/>
      <c r="Y47" s="298"/>
      <c r="Z47" s="363" t="str">
        <f t="shared" si="10"/>
        <v/>
      </c>
      <c r="AA47" s="303"/>
      <c r="AB47" s="366" t="str">
        <f t="shared" si="11"/>
        <v/>
      </c>
      <c r="AC47" s="308"/>
      <c r="AD47" s="309"/>
      <c r="AE47" s="366" t="str">
        <f t="shared" si="21"/>
        <v/>
      </c>
      <c r="AF47" s="283"/>
      <c r="AG47" s="363" t="str">
        <f t="shared" si="12"/>
        <v/>
      </c>
      <c r="AH47" s="287"/>
      <c r="AI47" s="366" t="str">
        <f t="shared" si="76"/>
        <v/>
      </c>
      <c r="AJ47" s="362"/>
      <c r="AK47" s="363" t="str">
        <f t="shared" si="22"/>
        <v/>
      </c>
      <c r="AL47" s="358"/>
      <c r="AM47" s="366" t="str">
        <f t="shared" si="14"/>
        <v/>
      </c>
      <c r="AN47" s="300"/>
      <c r="AO47" s="316"/>
      <c r="AP47" s="288"/>
      <c r="AQ47" s="287"/>
      <c r="AR47" s="366" t="str">
        <f t="shared" si="15"/>
        <v/>
      </c>
      <c r="AS47" s="292"/>
      <c r="AT47" s="318"/>
      <c r="AU47" s="363" t="str">
        <f>IF(OR(AS47="",AT47=""),"",VLOOKUP(BO47,Parameters!$B$75:$C$83,2,FALSE))</f>
        <v/>
      </c>
      <c r="AV47" s="287"/>
      <c r="AW47" s="366" t="str">
        <f t="shared" si="16"/>
        <v/>
      </c>
      <c r="AX47" s="292"/>
      <c r="AY47" s="363" t="str">
        <f t="shared" si="23"/>
        <v/>
      </c>
      <c r="AZ47" s="287"/>
      <c r="BA47" s="366" t="str">
        <f t="shared" si="24"/>
        <v/>
      </c>
      <c r="BB47" s="300"/>
      <c r="BC47" s="332"/>
      <c r="BD47" s="287"/>
      <c r="BE47" s="366" t="str">
        <f t="shared" si="25"/>
        <v/>
      </c>
      <c r="BF47" s="292"/>
      <c r="BG47" s="363" t="str">
        <f t="shared" si="26"/>
        <v/>
      </c>
      <c r="BH47" s="288"/>
      <c r="BI47" s="287"/>
      <c r="BJ47" s="366" t="str">
        <f t="shared" si="27"/>
        <v/>
      </c>
      <c r="BK47" s="300"/>
      <c r="BL47" s="335"/>
      <c r="BM47" s="64"/>
      <c r="BN47" s="59" t="str">
        <f t="shared" si="17"/>
        <v/>
      </c>
      <c r="BO47" s="57" t="str">
        <f t="shared" si="18"/>
        <v/>
      </c>
      <c r="BP47" s="57"/>
      <c r="BQ47" s="57"/>
    </row>
    <row r="48" spans="1:69" s="1" customFormat="1" ht="16.5" customHeight="1" x14ac:dyDescent="0.25">
      <c r="A48" s="321"/>
      <c r="B48" s="321"/>
      <c r="C48" s="321"/>
      <c r="D48" s="61"/>
      <c r="E48" s="61"/>
      <c r="F48" s="61"/>
      <c r="G48" s="285"/>
      <c r="H48" s="286"/>
      <c r="I48" s="286"/>
      <c r="J48" s="286"/>
      <c r="K48" s="286"/>
      <c r="L48" s="285"/>
      <c r="M48" s="61"/>
      <c r="N48" s="61"/>
      <c r="O48" s="65"/>
      <c r="P48" s="61"/>
      <c r="Q48" s="61"/>
      <c r="R48" s="61"/>
      <c r="S48" s="65"/>
      <c r="T48" s="275"/>
      <c r="U48" s="61"/>
      <c r="V48" s="61"/>
      <c r="W48" s="285"/>
      <c r="X48" s="60"/>
      <c r="Y48" s="60"/>
      <c r="Z48" s="61"/>
      <c r="AA48" s="61"/>
      <c r="AB48" s="65"/>
      <c r="AC48" s="61"/>
      <c r="AD48" s="61"/>
      <c r="AE48" s="285"/>
      <c r="AF48" s="286"/>
      <c r="AG48" s="286"/>
      <c r="AH48" s="61"/>
      <c r="AI48" s="65"/>
      <c r="AJ48" s="61"/>
      <c r="AK48" s="61"/>
      <c r="AL48" s="286"/>
      <c r="AM48" s="65"/>
      <c r="AN48" s="60"/>
      <c r="AO48" s="60"/>
      <c r="AP48" s="61"/>
      <c r="AQ48" s="61"/>
      <c r="AR48" s="69"/>
      <c r="AS48" s="69"/>
      <c r="AT48" s="69"/>
      <c r="AU48" s="61"/>
      <c r="AV48" s="61"/>
      <c r="AW48" s="69"/>
      <c r="AX48" s="69"/>
      <c r="AY48" s="61"/>
      <c r="AZ48" s="61"/>
      <c r="BA48" s="65"/>
      <c r="BB48" s="60"/>
      <c r="BC48" s="61"/>
      <c r="BD48" s="61"/>
      <c r="BE48" s="65"/>
      <c r="BF48" s="65"/>
      <c r="BG48" s="61"/>
      <c r="BH48" s="61"/>
      <c r="BI48" s="61"/>
      <c r="BJ48" s="65"/>
      <c r="BK48" s="60"/>
      <c r="BL48" s="262"/>
      <c r="BM48" s="54"/>
      <c r="BN48" s="54"/>
      <c r="BO48" s="54"/>
      <c r="BP48" s="54"/>
      <c r="BQ48" s="54"/>
    </row>
    <row r="49" spans="3:69" s="62" customFormat="1" x14ac:dyDescent="0.25">
      <c r="C49" s="62" t="s">
        <v>190</v>
      </c>
      <c r="D49" s="63"/>
      <c r="E49" s="63"/>
      <c r="F49" s="63"/>
      <c r="G49" s="66">
        <f>+SUM(G8:G47)</f>
        <v>12</v>
      </c>
      <c r="H49" s="63"/>
      <c r="I49" s="63"/>
      <c r="J49" s="63"/>
      <c r="K49" s="63"/>
      <c r="L49" s="66">
        <f>+SUM(L8:L47)</f>
        <v>12</v>
      </c>
      <c r="M49" s="63"/>
      <c r="N49" s="63"/>
      <c r="O49" s="66">
        <f>+SUM(O8:O47)</f>
        <v>8</v>
      </c>
      <c r="P49" s="63"/>
      <c r="Q49" s="63"/>
      <c r="R49" s="63"/>
      <c r="S49" s="66">
        <f>+SUM(S8:S47)</f>
        <v>80</v>
      </c>
      <c r="T49" s="66"/>
      <c r="U49" s="63"/>
      <c r="V49" s="63"/>
      <c r="W49" s="66">
        <f>+SUM(W8:W47)</f>
        <v>60</v>
      </c>
      <c r="X49" s="63">
        <f>+SUM(X8:X47)</f>
        <v>0</v>
      </c>
      <c r="Y49" s="63"/>
      <c r="Z49" s="63"/>
      <c r="AA49" s="63"/>
      <c r="AB49" s="66">
        <f>+SUM(AB8:AB47)</f>
        <v>21</v>
      </c>
      <c r="AC49" s="63"/>
      <c r="AD49" s="63"/>
      <c r="AE49" s="66">
        <f>+SUM(AE8:AE47)</f>
        <v>3.6</v>
      </c>
      <c r="AF49" s="63"/>
      <c r="AG49" s="63"/>
      <c r="AH49" s="63"/>
      <c r="AI49" s="66">
        <f>+SUM(AI8:AI47)</f>
        <v>36</v>
      </c>
      <c r="AJ49" s="63"/>
      <c r="AK49" s="63"/>
      <c r="AL49" s="63"/>
      <c r="AM49" s="66">
        <f>+SUM(AM8:AM47)</f>
        <v>8</v>
      </c>
      <c r="AN49" s="63">
        <f>+SUM(AN8:AN47)</f>
        <v>234</v>
      </c>
      <c r="AO49" s="63"/>
      <c r="AP49" s="63"/>
      <c r="AQ49" s="63"/>
      <c r="AR49" s="66">
        <f>+SUM(AR8:AR47)</f>
        <v>60</v>
      </c>
      <c r="AS49" s="66"/>
      <c r="AT49" s="66"/>
      <c r="AU49" s="63"/>
      <c r="AV49" s="63"/>
      <c r="AW49" s="66">
        <f>+SUM(AW8:AW47)</f>
        <v>30</v>
      </c>
      <c r="AX49" s="66"/>
      <c r="AY49" s="63"/>
      <c r="AZ49" s="63"/>
      <c r="BA49" s="66">
        <f>+SUM(BA8:BA47)</f>
        <v>6</v>
      </c>
      <c r="BB49" s="63">
        <f>+SUM(BB8:BB47)</f>
        <v>23</v>
      </c>
      <c r="BC49" s="63"/>
      <c r="BD49" s="63"/>
      <c r="BE49" s="66">
        <f>+SUM(BE8:BE47)</f>
        <v>31</v>
      </c>
      <c r="BF49" s="66"/>
      <c r="BG49" s="63"/>
      <c r="BH49" s="63"/>
      <c r="BI49" s="63"/>
      <c r="BJ49" s="66">
        <f>+SUM(BJ8:BJ47)</f>
        <v>20</v>
      </c>
      <c r="BK49" s="63">
        <f>+SUM(BK8:BK47)</f>
        <v>78</v>
      </c>
      <c r="BL49" s="261"/>
      <c r="BM49" s="63"/>
      <c r="BN49" s="63"/>
      <c r="BO49" s="63"/>
      <c r="BP49" s="63"/>
      <c r="BQ49" s="63"/>
    </row>
    <row r="50" spans="3:69" s="62" customFormat="1" x14ac:dyDescent="0.25">
      <c r="C50" s="62" t="s">
        <v>321</v>
      </c>
      <c r="D50" s="63"/>
      <c r="E50" s="63"/>
      <c r="F50" s="63"/>
      <c r="G50" s="66">
        <f>SUMIF($B$8:$B$47,"ADD",G8:G47)</f>
        <v>12</v>
      </c>
      <c r="H50" s="63"/>
      <c r="I50" s="63"/>
      <c r="J50" s="63"/>
      <c r="K50" s="63"/>
      <c r="L50" s="66">
        <f>SUMIF($B$8:$B$47,"ADD",L8:L47)</f>
        <v>12</v>
      </c>
      <c r="M50" s="63"/>
      <c r="N50" s="63"/>
      <c r="O50" s="66">
        <f>SUMIF($B$8:$B$47,"ADD",O8:O47)</f>
        <v>8</v>
      </c>
      <c r="P50" s="63"/>
      <c r="Q50" s="63"/>
      <c r="R50" s="63"/>
      <c r="S50" s="66">
        <f>SUMIF($B$8:$B$47,"ADD",S8:S47)</f>
        <v>80</v>
      </c>
      <c r="T50" s="66"/>
      <c r="U50" s="63"/>
      <c r="V50" s="63"/>
      <c r="W50" s="66">
        <f>SUMIF($B$8:$B$47,"ADD",W8:W47)</f>
        <v>60</v>
      </c>
      <c r="X50" s="63"/>
      <c r="Y50" s="63"/>
      <c r="Z50" s="63"/>
      <c r="AA50" s="63"/>
      <c r="AB50" s="66">
        <f>SUMIF($B$8:$B$47,"ADD",AB8:AB47)</f>
        <v>21</v>
      </c>
      <c r="AC50" s="63"/>
      <c r="AD50" s="63"/>
      <c r="AE50" s="66">
        <f>SUMIF($B$8:$B$47,"ADD",AE8:AE47)</f>
        <v>3.6</v>
      </c>
      <c r="AF50" s="63"/>
      <c r="AG50" s="63"/>
      <c r="AH50" s="63"/>
      <c r="AI50" s="66">
        <f>SUMIF($B$8:$B$47,"ADD",AI8:AI47)</f>
        <v>36</v>
      </c>
      <c r="AJ50" s="63"/>
      <c r="AK50" s="63"/>
      <c r="AL50" s="63"/>
      <c r="AM50" s="66">
        <f>SUMIF($B$8:$B$47,"ADD",AM8:AM47)</f>
        <v>8</v>
      </c>
      <c r="AN50" s="63"/>
      <c r="AO50" s="63"/>
      <c r="AP50" s="63"/>
      <c r="AQ50" s="63"/>
      <c r="AR50" s="66">
        <f>SUMIF($B$8:$B$47,"ADD",AR8:AR47)</f>
        <v>60</v>
      </c>
      <c r="AS50" s="66"/>
      <c r="AT50" s="66"/>
      <c r="AU50" s="63"/>
      <c r="AV50" s="63"/>
      <c r="AW50" s="66">
        <f>SUMIF($B$8:$B$47,"ADD",AW8:AW47)</f>
        <v>30</v>
      </c>
      <c r="AX50" s="66"/>
      <c r="AY50" s="63"/>
      <c r="AZ50" s="63"/>
      <c r="BA50" s="66">
        <f>SUMIF($B$8:$B$47,"ADD",BA8:BA47)</f>
        <v>6</v>
      </c>
      <c r="BB50" s="63"/>
      <c r="BC50" s="63"/>
      <c r="BD50" s="63"/>
      <c r="BE50" s="66">
        <f>SUMIF($B$8:$B$47,"ADD",BE8:BE47)</f>
        <v>31</v>
      </c>
      <c r="BF50" s="66"/>
      <c r="BG50" s="63"/>
      <c r="BH50" s="63"/>
      <c r="BI50" s="63"/>
      <c r="BJ50" s="66">
        <f>SUMIF($B$8:$B$47,"ADD",BJ8:BJ47)</f>
        <v>20</v>
      </c>
      <c r="BK50" s="63"/>
      <c r="BL50" s="261"/>
      <c r="BM50" s="63"/>
      <c r="BN50" s="63"/>
      <c r="BO50" s="63"/>
      <c r="BP50" s="63"/>
      <c r="BQ50" s="63"/>
    </row>
    <row r="51" spans="3:69" s="62" customFormat="1" x14ac:dyDescent="0.25">
      <c r="C51" s="62" t="s">
        <v>322</v>
      </c>
      <c r="D51" s="63"/>
      <c r="E51" s="63"/>
      <c r="F51" s="63"/>
      <c r="G51" s="66">
        <f>SUMIF($B$8:$B$47,"CHG",G8:G47)</f>
        <v>0</v>
      </c>
      <c r="H51" s="63"/>
      <c r="I51" s="63"/>
      <c r="J51" s="63"/>
      <c r="K51" s="63"/>
      <c r="L51" s="66">
        <f>SUMIF($B$8:$B$47,"CHG",L8:L47)</f>
        <v>0</v>
      </c>
      <c r="M51" s="63"/>
      <c r="N51" s="63"/>
      <c r="O51" s="66">
        <f>SUMIF($B$8:$B$47,"CHG",O8:O47)</f>
        <v>0</v>
      </c>
      <c r="P51" s="63"/>
      <c r="Q51" s="63"/>
      <c r="R51" s="63"/>
      <c r="S51" s="66">
        <f>SUMIF($B$8:$B$47,"CHG",S8:S47)</f>
        <v>0</v>
      </c>
      <c r="T51" s="66"/>
      <c r="U51" s="63"/>
      <c r="V51" s="63"/>
      <c r="W51" s="66">
        <f>SUMIF($B$8:$B$47,"CHG",W8:W47)</f>
        <v>0</v>
      </c>
      <c r="X51" s="63"/>
      <c r="Y51" s="63"/>
      <c r="Z51" s="63"/>
      <c r="AA51" s="63"/>
      <c r="AB51" s="66">
        <f>SUMIF($B$8:$B$47,"CHG",AB8:AB47)</f>
        <v>0</v>
      </c>
      <c r="AC51" s="63"/>
      <c r="AD51" s="63"/>
      <c r="AE51" s="66">
        <f>SUMIF($B$8:$B$47,"CHG",AE8:AE47)</f>
        <v>0</v>
      </c>
      <c r="AF51" s="63"/>
      <c r="AG51" s="63"/>
      <c r="AH51" s="63"/>
      <c r="AI51" s="66">
        <f>SUMIF($B$8:$B$47,"CHG",AI8:AI47)</f>
        <v>0</v>
      </c>
      <c r="AJ51" s="63"/>
      <c r="AK51" s="63"/>
      <c r="AL51" s="63"/>
      <c r="AM51" s="66">
        <f>SUMIF($B$8:$B$47,"CHG",AM8:AM47)</f>
        <v>0</v>
      </c>
      <c r="AN51" s="63"/>
      <c r="AO51" s="63"/>
      <c r="AP51" s="63"/>
      <c r="AQ51" s="63"/>
      <c r="AR51" s="66">
        <f>SUMIF($B$8:$B$47,"CHG",AR8:AR47)</f>
        <v>0</v>
      </c>
      <c r="AS51" s="66"/>
      <c r="AT51" s="66"/>
      <c r="AU51" s="63"/>
      <c r="AV51" s="63"/>
      <c r="AW51" s="66">
        <f>SUMIF($B$8:$B$47,"CHG",AW8:AW47)</f>
        <v>0</v>
      </c>
      <c r="AX51" s="66"/>
      <c r="AY51" s="63"/>
      <c r="AZ51" s="63"/>
      <c r="BA51" s="66">
        <f>SUMIF($B$8:$B$47,"CHG",BA8:BA47)</f>
        <v>0</v>
      </c>
      <c r="BB51" s="63"/>
      <c r="BC51" s="63"/>
      <c r="BD51" s="63"/>
      <c r="BE51" s="66">
        <f>SUMIF($B$8:$B$47,"CHG",BE8:BE47)</f>
        <v>0</v>
      </c>
      <c r="BF51" s="66"/>
      <c r="BG51" s="63"/>
      <c r="BH51" s="63"/>
      <c r="BI51" s="63"/>
      <c r="BJ51" s="66">
        <f>SUMIF($B$8:$B$47,"CHG",BJ8:BJ47)</f>
        <v>0</v>
      </c>
      <c r="BK51" s="63"/>
      <c r="BL51" s="261"/>
      <c r="BM51" s="63"/>
      <c r="BN51" s="63"/>
      <c r="BO51" s="63"/>
      <c r="BP51" s="63"/>
      <c r="BQ51" s="63"/>
    </row>
    <row r="52" spans="3:69" s="62" customFormat="1" ht="15.75" thickBot="1" x14ac:dyDescent="0.3">
      <c r="C52" s="62" t="s">
        <v>323</v>
      </c>
      <c r="D52" s="63"/>
      <c r="E52" s="63"/>
      <c r="F52" s="63"/>
      <c r="G52" s="66">
        <f>SUMIF($B$8:$B$47,"DEL",G8:G47)</f>
        <v>0</v>
      </c>
      <c r="H52" s="63"/>
      <c r="I52" s="63"/>
      <c r="J52" s="63"/>
      <c r="K52" s="63"/>
      <c r="L52" s="66">
        <f>SUMIF($B$8:$B$47,"DEL",L8:L47)</f>
        <v>0</v>
      </c>
      <c r="M52" s="63"/>
      <c r="N52" s="63"/>
      <c r="O52" s="66">
        <f>SUMIF($B$8:$B$47,"DEL",O8:O47)</f>
        <v>0</v>
      </c>
      <c r="P52" s="63"/>
      <c r="Q52" s="63"/>
      <c r="R52" s="63"/>
      <c r="S52" s="66">
        <f>SUMIF($B$8:$B$47,"DEL",S8:S47)</f>
        <v>0</v>
      </c>
      <c r="T52" s="66"/>
      <c r="U52" s="63"/>
      <c r="V52" s="63"/>
      <c r="W52" s="66">
        <f>SUMIF($B$8:$B$47,"DEL",W8:W47)</f>
        <v>0</v>
      </c>
      <c r="X52" s="63"/>
      <c r="Y52" s="63"/>
      <c r="Z52" s="63"/>
      <c r="AA52" s="63"/>
      <c r="AB52" s="66">
        <f>SUMIF($B$8:$B$47,"DEL",AB8:AB47)</f>
        <v>0</v>
      </c>
      <c r="AC52" s="63"/>
      <c r="AD52" s="63"/>
      <c r="AE52" s="66">
        <f>SUMIF($B$8:$B$47,"DEL",AE8:AE47)</f>
        <v>0</v>
      </c>
      <c r="AF52" s="63"/>
      <c r="AG52" s="63"/>
      <c r="AH52" s="63"/>
      <c r="AI52" s="66">
        <f>SUMIF($B$8:$B$47,"DEL",AI8:AI47)</f>
        <v>0</v>
      </c>
      <c r="AJ52" s="63"/>
      <c r="AK52" s="63"/>
      <c r="AL52" s="63"/>
      <c r="AM52" s="66">
        <f>SUMIF($B$8:$B$47,"DEL",AM8:AM47)</f>
        <v>0</v>
      </c>
      <c r="AN52" s="63"/>
      <c r="AO52" s="63"/>
      <c r="AP52" s="63"/>
      <c r="AQ52" s="63"/>
      <c r="AR52" s="66">
        <f>SUMIF($B$8:$B$47,"DEL",AR8:AR47)</f>
        <v>0</v>
      </c>
      <c r="AS52" s="66"/>
      <c r="AT52" s="66"/>
      <c r="AU52" s="63"/>
      <c r="AV52" s="63"/>
      <c r="AW52" s="66">
        <f>SUMIF($B$8:$B$47,"DEL",AW8:AW47)</f>
        <v>0</v>
      </c>
      <c r="AX52" s="66"/>
      <c r="AY52" s="63"/>
      <c r="AZ52" s="63"/>
      <c r="BA52" s="66">
        <f>SUMIF($B$8:$B$47,"DEL",BA8:BA47)</f>
        <v>0</v>
      </c>
      <c r="BB52" s="63"/>
      <c r="BC52" s="63"/>
      <c r="BD52" s="63"/>
      <c r="BE52" s="66">
        <f>SUMIF($B$8:$B$47,"DEL",BE8:BE47)</f>
        <v>0</v>
      </c>
      <c r="BF52" s="66"/>
      <c r="BG52" s="63"/>
      <c r="BH52" s="63"/>
      <c r="BI52" s="63"/>
      <c r="BJ52" s="66">
        <f>SUMIF($B$8:$B$47,"DEL",BJ8:BJ47)</f>
        <v>0</v>
      </c>
      <c r="BK52" s="63"/>
      <c r="BL52" s="261"/>
      <c r="BM52" s="63"/>
      <c r="BN52" s="63"/>
      <c r="BO52" s="63"/>
      <c r="BP52" s="63"/>
      <c r="BQ52" s="63"/>
    </row>
    <row r="53" spans="3:69" s="1" customFormat="1" ht="69" customHeight="1" thickBot="1" x14ac:dyDescent="0.3">
      <c r="D53" s="482"/>
      <c r="E53" s="483"/>
      <c r="F53" s="484"/>
      <c r="G53" s="54"/>
      <c r="H53" s="482"/>
      <c r="I53" s="483"/>
      <c r="J53" s="483"/>
      <c r="K53" s="484"/>
      <c r="L53" s="67"/>
      <c r="M53" s="482"/>
      <c r="N53" s="484"/>
      <c r="O53" s="67"/>
      <c r="P53" s="482"/>
      <c r="Q53" s="483"/>
      <c r="R53" s="484"/>
      <c r="S53" s="67"/>
      <c r="T53" s="504"/>
      <c r="U53" s="505"/>
      <c r="V53" s="506"/>
      <c r="W53" s="67"/>
      <c r="Y53" s="482"/>
      <c r="Z53" s="483"/>
      <c r="AA53" s="484"/>
      <c r="AB53" s="67"/>
      <c r="AC53" s="482"/>
      <c r="AD53" s="483"/>
      <c r="AE53" s="484"/>
      <c r="AF53" s="482"/>
      <c r="AG53" s="483"/>
      <c r="AH53" s="484"/>
      <c r="AI53" s="67"/>
      <c r="AJ53" s="482"/>
      <c r="AK53" s="483"/>
      <c r="AL53" s="484"/>
      <c r="AM53" s="67"/>
      <c r="AO53" s="482"/>
      <c r="AP53" s="483"/>
      <c r="AQ53" s="484"/>
      <c r="AR53" s="68"/>
      <c r="AS53" s="478"/>
      <c r="AT53" s="479"/>
      <c r="AU53" s="479"/>
      <c r="AV53" s="480"/>
      <c r="AW53" s="116"/>
      <c r="AX53" s="478"/>
      <c r="AY53" s="479"/>
      <c r="AZ53" s="480"/>
      <c r="BA53" s="67"/>
      <c r="BB53" s="482"/>
      <c r="BC53" s="483"/>
      <c r="BD53" s="484"/>
      <c r="BE53" s="67"/>
      <c r="BF53" s="478"/>
      <c r="BG53" s="479"/>
      <c r="BH53" s="479"/>
      <c r="BI53" s="480"/>
      <c r="BJ53" s="67"/>
      <c r="BL53" s="259"/>
      <c r="BM53" s="54"/>
      <c r="BN53" s="54"/>
      <c r="BO53" s="54"/>
      <c r="BP53" s="54"/>
      <c r="BQ53" s="54"/>
    </row>
    <row r="54" spans="3:69" s="115" customFormat="1" ht="15.6" customHeight="1" x14ac:dyDescent="0.25">
      <c r="D54" s="481" t="s">
        <v>267</v>
      </c>
      <c r="E54" s="481"/>
      <c r="F54" s="481"/>
      <c r="G54" s="178"/>
      <c r="H54" s="503" t="s">
        <v>267</v>
      </c>
      <c r="I54" s="503"/>
      <c r="J54" s="503"/>
      <c r="K54" s="503"/>
      <c r="L54" s="178"/>
      <c r="M54" s="481" t="s">
        <v>267</v>
      </c>
      <c r="N54" s="481"/>
      <c r="O54" s="178"/>
      <c r="P54" s="481" t="s">
        <v>267</v>
      </c>
      <c r="Q54" s="481"/>
      <c r="R54" s="481"/>
      <c r="S54" s="178"/>
      <c r="T54" s="481" t="s">
        <v>267</v>
      </c>
      <c r="U54" s="481"/>
      <c r="V54" s="481"/>
      <c r="W54" s="178"/>
      <c r="Y54" s="481" t="s">
        <v>267</v>
      </c>
      <c r="Z54" s="481"/>
      <c r="AA54" s="481"/>
      <c r="AB54" s="178"/>
      <c r="AC54" s="481" t="s">
        <v>267</v>
      </c>
      <c r="AD54" s="481"/>
      <c r="AE54" s="481"/>
      <c r="AF54" s="481" t="s">
        <v>267</v>
      </c>
      <c r="AG54" s="481"/>
      <c r="AH54" s="481"/>
      <c r="AI54" s="178"/>
      <c r="AJ54" s="481" t="s">
        <v>267</v>
      </c>
      <c r="AK54" s="481"/>
      <c r="AL54" s="481"/>
      <c r="AM54" s="178"/>
      <c r="AO54" s="481" t="s">
        <v>267</v>
      </c>
      <c r="AP54" s="481"/>
      <c r="AQ54" s="481"/>
      <c r="AS54" s="481" t="s">
        <v>267</v>
      </c>
      <c r="AT54" s="481"/>
      <c r="AU54" s="481"/>
      <c r="AV54" s="481"/>
      <c r="AX54" s="481" t="s">
        <v>267</v>
      </c>
      <c r="AY54" s="481"/>
      <c r="AZ54" s="481"/>
      <c r="BA54" s="178"/>
      <c r="BB54" s="481" t="s">
        <v>267</v>
      </c>
      <c r="BC54" s="481"/>
      <c r="BD54" s="481"/>
      <c r="BE54" s="178"/>
      <c r="BF54" s="481" t="s">
        <v>267</v>
      </c>
      <c r="BG54" s="481"/>
      <c r="BH54" s="481"/>
      <c r="BI54" s="481"/>
      <c r="BJ54" s="178"/>
      <c r="BL54" s="263"/>
      <c r="BM54" s="178"/>
      <c r="BN54" s="178"/>
      <c r="BO54" s="178"/>
      <c r="BP54" s="178"/>
      <c r="BQ54" s="178"/>
    </row>
    <row r="55" spans="3:69" s="1" customFormat="1" ht="15.6" customHeight="1" x14ac:dyDescent="0.25">
      <c r="D55" s="54"/>
      <c r="E55" s="54"/>
      <c r="F55" s="54"/>
      <c r="G55" s="67"/>
      <c r="H55" s="54"/>
      <c r="I55" s="54"/>
      <c r="J55" s="54"/>
      <c r="K55" s="54"/>
      <c r="L55" s="67"/>
      <c r="M55" s="54"/>
      <c r="N55" s="54"/>
      <c r="O55" s="67"/>
      <c r="P55" s="54"/>
      <c r="Q55" s="54"/>
      <c r="R55" s="54"/>
      <c r="S55" s="67"/>
      <c r="T55" s="67"/>
      <c r="U55" s="54"/>
      <c r="V55" s="54"/>
      <c r="W55" s="67"/>
      <c r="Z55" s="54"/>
      <c r="AA55" s="54"/>
      <c r="AB55" s="67"/>
      <c r="AC55" s="54"/>
      <c r="AD55" s="54"/>
      <c r="AE55" s="67"/>
      <c r="AF55" s="54"/>
      <c r="AG55" s="54"/>
      <c r="AH55" s="54"/>
      <c r="AI55" s="67"/>
      <c r="AJ55" s="54"/>
      <c r="AK55" s="54"/>
      <c r="AL55" s="54"/>
      <c r="AM55" s="67"/>
      <c r="AP55" s="54"/>
      <c r="AQ55" s="54"/>
      <c r="AR55" s="68"/>
      <c r="AS55" s="68"/>
      <c r="AT55" s="68"/>
      <c r="AU55" s="54"/>
      <c r="AV55" s="54"/>
      <c r="AW55" s="68"/>
      <c r="AX55" s="68"/>
      <c r="AY55" s="54"/>
      <c r="AZ55" s="54"/>
      <c r="BA55" s="67"/>
      <c r="BC55" s="54"/>
      <c r="BD55" s="54"/>
      <c r="BE55" s="67"/>
      <c r="BF55" s="67"/>
      <c r="BG55" s="54"/>
      <c r="BH55" s="54"/>
      <c r="BI55" s="54"/>
      <c r="BJ55" s="67"/>
      <c r="BL55" s="259"/>
      <c r="BM55" s="54"/>
      <c r="BN55" s="54"/>
      <c r="BO55" s="54"/>
      <c r="BP55" s="54"/>
      <c r="BQ55" s="54"/>
    </row>
    <row r="56" spans="3:69" s="1" customFormat="1" x14ac:dyDescent="0.25">
      <c r="G56" s="68"/>
      <c r="L56" s="68"/>
      <c r="O56" s="68"/>
      <c r="S56" s="68"/>
      <c r="T56" s="68"/>
      <c r="W56" s="68"/>
      <c r="AB56" s="68"/>
      <c r="AE56" s="68"/>
      <c r="AI56" s="68"/>
      <c r="AM56" s="68"/>
      <c r="AR56" s="68"/>
      <c r="AS56" s="68"/>
      <c r="AT56" s="68"/>
      <c r="AW56" s="68"/>
      <c r="AX56" s="68"/>
      <c r="BA56" s="68"/>
      <c r="BE56" s="68"/>
      <c r="BF56" s="68"/>
      <c r="BG56" s="54"/>
      <c r="BH56" s="54"/>
      <c r="BI56" s="54"/>
      <c r="BJ56" s="68"/>
      <c r="BL56" s="259"/>
    </row>
    <row r="57" spans="3:69" s="1" customFormat="1" x14ac:dyDescent="0.25">
      <c r="G57" s="68"/>
      <c r="L57" s="68"/>
      <c r="O57" s="68"/>
      <c r="S57" s="68"/>
      <c r="T57" s="68"/>
      <c r="W57" s="68"/>
      <c r="AB57" s="68"/>
      <c r="AE57" s="68"/>
      <c r="AI57" s="68"/>
      <c r="AM57" s="68"/>
      <c r="AR57" s="68"/>
      <c r="AS57" s="68"/>
      <c r="AT57" s="68"/>
      <c r="AW57" s="68"/>
      <c r="AX57" s="68"/>
      <c r="BA57" s="68"/>
      <c r="BE57" s="68"/>
      <c r="BF57" s="68"/>
      <c r="BG57" s="54"/>
      <c r="BH57" s="54"/>
      <c r="BI57" s="54"/>
      <c r="BJ57" s="68"/>
      <c r="BL57" s="259"/>
    </row>
    <row r="58" spans="3:69" s="1" customFormat="1" x14ac:dyDescent="0.25">
      <c r="G58" s="68"/>
      <c r="L58" s="68"/>
      <c r="O58" s="68"/>
      <c r="S58" s="68"/>
      <c r="T58" s="68"/>
      <c r="W58" s="68"/>
      <c r="AB58" s="68"/>
      <c r="AE58" s="68"/>
      <c r="AI58" s="68"/>
      <c r="AM58" s="68"/>
      <c r="AR58" s="68"/>
      <c r="AS58" s="68"/>
      <c r="AT58" s="68"/>
      <c r="AW58" s="68"/>
      <c r="AX58" s="68"/>
      <c r="BA58" s="68"/>
      <c r="BE58" s="68"/>
      <c r="BF58" s="68"/>
      <c r="BG58" s="54"/>
      <c r="BH58" s="54"/>
      <c r="BI58" s="54"/>
      <c r="BJ58" s="68"/>
      <c r="BL58" s="259"/>
    </row>
    <row r="59" spans="3:69" s="1" customFormat="1" x14ac:dyDescent="0.25">
      <c r="G59" s="68"/>
      <c r="L59" s="68"/>
      <c r="O59" s="68"/>
      <c r="S59" s="68"/>
      <c r="T59" s="68"/>
      <c r="W59" s="68"/>
      <c r="AB59" s="68"/>
      <c r="AE59" s="68"/>
      <c r="AI59" s="68"/>
      <c r="AM59" s="68"/>
      <c r="AR59" s="68"/>
      <c r="AS59" s="68"/>
      <c r="AT59" s="68"/>
      <c r="AW59" s="68"/>
      <c r="AX59" s="68"/>
      <c r="BA59" s="68"/>
      <c r="BE59" s="68"/>
      <c r="BF59" s="68"/>
      <c r="BG59" s="54"/>
      <c r="BH59" s="54"/>
      <c r="BI59" s="54"/>
      <c r="BJ59" s="68"/>
      <c r="BL59" s="259"/>
    </row>
    <row r="60" spans="3:69" s="1" customFormat="1" x14ac:dyDescent="0.25">
      <c r="G60" s="68"/>
      <c r="L60" s="68"/>
      <c r="O60" s="68"/>
      <c r="S60" s="68"/>
      <c r="T60" s="68"/>
      <c r="W60" s="68"/>
      <c r="AB60" s="68"/>
      <c r="AE60" s="68"/>
      <c r="AI60" s="68"/>
      <c r="AM60" s="68"/>
      <c r="AR60" s="68"/>
      <c r="AS60" s="68"/>
      <c r="AT60" s="68"/>
      <c r="AW60" s="68"/>
      <c r="AX60" s="68"/>
      <c r="BA60" s="68"/>
      <c r="BE60" s="68"/>
      <c r="BF60" s="68"/>
      <c r="BG60" s="54"/>
      <c r="BH60" s="54"/>
      <c r="BI60" s="54"/>
      <c r="BJ60" s="68"/>
      <c r="BL60" s="259"/>
    </row>
    <row r="61" spans="3:69" s="1" customFormat="1" x14ac:dyDescent="0.25">
      <c r="G61" s="68"/>
      <c r="L61" s="68"/>
      <c r="O61" s="68"/>
      <c r="S61" s="68"/>
      <c r="T61" s="68"/>
      <c r="W61" s="68"/>
      <c r="AB61" s="68"/>
      <c r="AE61" s="68"/>
      <c r="AI61" s="68"/>
      <c r="AM61" s="68"/>
      <c r="AR61" s="68"/>
      <c r="AS61" s="68"/>
      <c r="AT61" s="68"/>
      <c r="AW61" s="68"/>
      <c r="AX61" s="68"/>
      <c r="BA61" s="68"/>
      <c r="BE61" s="68"/>
      <c r="BF61" s="68"/>
      <c r="BG61" s="54"/>
      <c r="BH61" s="54"/>
      <c r="BI61" s="54"/>
      <c r="BJ61" s="68"/>
      <c r="BL61" s="259"/>
    </row>
    <row r="62" spans="3:69" s="1" customFormat="1" x14ac:dyDescent="0.25">
      <c r="G62" s="68"/>
      <c r="L62" s="68"/>
      <c r="O62" s="68"/>
      <c r="S62" s="68"/>
      <c r="T62" s="68"/>
      <c r="W62" s="68"/>
      <c r="AB62" s="68"/>
      <c r="AE62" s="68"/>
      <c r="AI62" s="68"/>
      <c r="AM62" s="68"/>
      <c r="AR62" s="68"/>
      <c r="AS62" s="68"/>
      <c r="AT62" s="68"/>
      <c r="AW62" s="68"/>
      <c r="AX62" s="68"/>
      <c r="BA62" s="68"/>
      <c r="BE62" s="68"/>
      <c r="BF62" s="68"/>
      <c r="BG62" s="54"/>
      <c r="BH62" s="54"/>
      <c r="BI62" s="54"/>
      <c r="BJ62" s="68"/>
      <c r="BL62" s="259"/>
    </row>
    <row r="63" spans="3:69" s="1" customFormat="1" x14ac:dyDescent="0.25">
      <c r="G63" s="68"/>
      <c r="L63" s="68"/>
      <c r="O63" s="68"/>
      <c r="S63" s="68"/>
      <c r="T63" s="68"/>
      <c r="W63" s="68"/>
      <c r="AB63" s="68"/>
      <c r="AE63" s="68"/>
      <c r="AI63" s="68"/>
      <c r="AM63" s="68"/>
      <c r="AR63" s="68"/>
      <c r="AS63" s="68"/>
      <c r="AT63" s="68"/>
      <c r="AW63" s="68"/>
      <c r="AX63" s="68"/>
      <c r="BA63" s="68"/>
      <c r="BE63" s="68"/>
      <c r="BF63" s="68"/>
      <c r="BG63" s="54"/>
      <c r="BH63" s="54"/>
      <c r="BI63" s="54"/>
      <c r="BJ63" s="68"/>
      <c r="BL63" s="259"/>
    </row>
    <row r="64" spans="3:69" s="1" customFormat="1" x14ac:dyDescent="0.25">
      <c r="G64" s="68"/>
      <c r="L64" s="68"/>
      <c r="O64" s="68"/>
      <c r="S64" s="68"/>
      <c r="T64" s="68"/>
      <c r="W64" s="68"/>
      <c r="AB64" s="68"/>
      <c r="AE64" s="68"/>
      <c r="AI64" s="68"/>
      <c r="AM64" s="68"/>
      <c r="AR64" s="68"/>
      <c r="AS64" s="68"/>
      <c r="AT64" s="68"/>
      <c r="AW64" s="68"/>
      <c r="AX64" s="68"/>
      <c r="BA64" s="68"/>
      <c r="BE64" s="68"/>
      <c r="BF64" s="68"/>
      <c r="BG64" s="54"/>
      <c r="BH64" s="54"/>
      <c r="BI64" s="54"/>
      <c r="BJ64" s="68"/>
      <c r="BL64" s="259"/>
    </row>
    <row r="65" spans="7:64" s="1" customFormat="1" x14ac:dyDescent="0.25">
      <c r="G65" s="68"/>
      <c r="L65" s="68"/>
      <c r="O65" s="68"/>
      <c r="S65" s="68"/>
      <c r="T65" s="68"/>
      <c r="W65" s="68"/>
      <c r="AB65" s="68"/>
      <c r="AE65" s="68"/>
      <c r="AI65" s="68"/>
      <c r="AM65" s="68"/>
      <c r="AR65" s="68"/>
      <c r="AS65" s="68"/>
      <c r="AT65" s="68"/>
      <c r="AW65" s="68"/>
      <c r="AX65" s="68"/>
      <c r="BA65" s="68"/>
      <c r="BE65" s="68"/>
      <c r="BF65" s="68"/>
      <c r="BG65" s="54"/>
      <c r="BH65" s="54"/>
      <c r="BI65" s="54"/>
      <c r="BJ65" s="68"/>
      <c r="BL65" s="259"/>
    </row>
    <row r="66" spans="7:64" s="1" customFormat="1" x14ac:dyDescent="0.25">
      <c r="G66" s="68"/>
      <c r="L66" s="68"/>
      <c r="O66" s="68"/>
      <c r="S66" s="68"/>
      <c r="T66" s="68"/>
      <c r="W66" s="68"/>
      <c r="AB66" s="68"/>
      <c r="AE66" s="68"/>
      <c r="AI66" s="68"/>
      <c r="AM66" s="68"/>
      <c r="AR66" s="68"/>
      <c r="AS66" s="68"/>
      <c r="AT66" s="68"/>
      <c r="AW66" s="68"/>
      <c r="AX66" s="68"/>
      <c r="BA66" s="68"/>
      <c r="BE66" s="68"/>
      <c r="BF66" s="68"/>
      <c r="BG66" s="54"/>
      <c r="BH66" s="54"/>
      <c r="BI66" s="54"/>
      <c r="BJ66" s="68"/>
      <c r="BL66" s="259"/>
    </row>
    <row r="67" spans="7:64" s="1" customFormat="1" x14ac:dyDescent="0.25">
      <c r="G67" s="68"/>
      <c r="L67" s="68"/>
      <c r="O67" s="68"/>
      <c r="S67" s="68"/>
      <c r="T67" s="68"/>
      <c r="W67" s="68"/>
      <c r="AB67" s="68"/>
      <c r="AE67" s="68"/>
      <c r="AI67" s="68"/>
      <c r="AM67" s="68"/>
      <c r="AR67" s="68"/>
      <c r="AS67" s="68"/>
      <c r="AT67" s="68"/>
      <c r="AW67" s="68"/>
      <c r="AX67" s="68"/>
      <c r="BA67" s="68"/>
      <c r="BE67" s="68"/>
      <c r="BF67" s="68"/>
      <c r="BG67" s="54"/>
      <c r="BH67" s="54"/>
      <c r="BI67" s="54"/>
      <c r="BJ67" s="68"/>
      <c r="BL67" s="259"/>
    </row>
    <row r="68" spans="7:64" s="1" customFormat="1" x14ac:dyDescent="0.25">
      <c r="G68" s="68"/>
      <c r="L68" s="68"/>
      <c r="O68" s="68"/>
      <c r="S68" s="68"/>
      <c r="T68" s="68"/>
      <c r="W68" s="68"/>
      <c r="AB68" s="68"/>
      <c r="AE68" s="68"/>
      <c r="AI68" s="68"/>
      <c r="AM68" s="68"/>
      <c r="AR68" s="68"/>
      <c r="AS68" s="68"/>
      <c r="AT68" s="68"/>
      <c r="AW68" s="68"/>
      <c r="AX68" s="68"/>
      <c r="BA68" s="68"/>
      <c r="BE68" s="68"/>
      <c r="BF68" s="68"/>
      <c r="BG68" s="54"/>
      <c r="BH68" s="54"/>
      <c r="BI68" s="54"/>
      <c r="BJ68" s="68"/>
      <c r="BL68" s="259"/>
    </row>
    <row r="69" spans="7:64" s="1" customFormat="1" x14ac:dyDescent="0.25">
      <c r="G69" s="68"/>
      <c r="L69" s="68"/>
      <c r="O69" s="68"/>
      <c r="S69" s="68"/>
      <c r="T69" s="68"/>
      <c r="W69" s="68"/>
      <c r="AB69" s="68"/>
      <c r="AE69" s="68"/>
      <c r="AI69" s="68"/>
      <c r="AM69" s="68"/>
      <c r="AR69" s="68"/>
      <c r="AS69" s="68"/>
      <c r="AT69" s="68"/>
      <c r="AW69" s="68"/>
      <c r="AX69" s="68"/>
      <c r="BA69" s="68"/>
      <c r="BE69" s="68"/>
      <c r="BF69" s="68"/>
      <c r="BG69" s="54"/>
      <c r="BH69" s="54"/>
      <c r="BI69" s="54"/>
      <c r="BJ69" s="68"/>
      <c r="BL69" s="259"/>
    </row>
    <row r="70" spans="7:64" s="1" customFormat="1" x14ac:dyDescent="0.25">
      <c r="G70" s="68"/>
      <c r="L70" s="68"/>
      <c r="O70" s="68"/>
      <c r="S70" s="68"/>
      <c r="T70" s="68"/>
      <c r="W70" s="68"/>
      <c r="AB70" s="68"/>
      <c r="AE70" s="68"/>
      <c r="AI70" s="68"/>
      <c r="AM70" s="68"/>
      <c r="AR70" s="68"/>
      <c r="AS70" s="68"/>
      <c r="AT70" s="68"/>
      <c r="AW70" s="68"/>
      <c r="AX70" s="68"/>
      <c r="BA70" s="68"/>
      <c r="BE70" s="68"/>
      <c r="BF70" s="68"/>
      <c r="BG70" s="54"/>
      <c r="BH70" s="54"/>
      <c r="BI70" s="54"/>
      <c r="BJ70" s="68"/>
      <c r="BL70" s="259"/>
    </row>
    <row r="71" spans="7:64" s="1" customFormat="1" x14ac:dyDescent="0.25">
      <c r="G71" s="68"/>
      <c r="L71" s="68"/>
      <c r="O71" s="68"/>
      <c r="S71" s="68"/>
      <c r="T71" s="68"/>
      <c r="W71" s="68"/>
      <c r="AB71" s="68"/>
      <c r="AE71" s="68"/>
      <c r="AI71" s="68"/>
      <c r="AM71" s="68"/>
      <c r="AR71" s="68"/>
      <c r="AS71" s="68"/>
      <c r="AT71" s="68"/>
      <c r="AW71" s="68"/>
      <c r="AX71" s="68"/>
      <c r="BA71" s="68"/>
      <c r="BE71" s="68"/>
      <c r="BF71" s="68"/>
      <c r="BG71" s="54"/>
      <c r="BH71" s="54"/>
      <c r="BI71" s="54"/>
      <c r="BJ71" s="68"/>
      <c r="BL71" s="259"/>
    </row>
    <row r="72" spans="7:64" s="1" customFormat="1" x14ac:dyDescent="0.25">
      <c r="G72" s="68"/>
      <c r="L72" s="68"/>
      <c r="O72" s="68"/>
      <c r="S72" s="68"/>
      <c r="T72" s="68"/>
      <c r="W72" s="68"/>
      <c r="AB72" s="68"/>
      <c r="AE72" s="68"/>
      <c r="AI72" s="68"/>
      <c r="AM72" s="68"/>
      <c r="AR72" s="68"/>
      <c r="AS72" s="68"/>
      <c r="AT72" s="68"/>
      <c r="AW72" s="68"/>
      <c r="AX72" s="68"/>
      <c r="BA72" s="68"/>
      <c r="BE72" s="68"/>
      <c r="BF72" s="68"/>
      <c r="BG72" s="54"/>
      <c r="BH72" s="54"/>
      <c r="BI72" s="54"/>
      <c r="BJ72" s="68"/>
      <c r="BL72" s="259"/>
    </row>
    <row r="73" spans="7:64" s="1" customFormat="1" x14ac:dyDescent="0.25">
      <c r="G73" s="68"/>
      <c r="L73" s="68"/>
      <c r="O73" s="68"/>
      <c r="S73" s="68"/>
      <c r="T73" s="68"/>
      <c r="W73" s="68"/>
      <c r="AB73" s="68"/>
      <c r="AE73" s="68"/>
      <c r="AI73" s="68"/>
      <c r="AM73" s="68"/>
      <c r="AR73" s="68"/>
      <c r="AS73" s="68"/>
      <c r="AT73" s="68"/>
      <c r="AW73" s="68"/>
      <c r="AX73" s="68"/>
      <c r="BA73" s="68"/>
      <c r="BE73" s="68"/>
      <c r="BF73" s="68"/>
      <c r="BG73" s="54"/>
      <c r="BH73" s="54"/>
      <c r="BI73" s="54"/>
      <c r="BJ73" s="68"/>
      <c r="BL73" s="259"/>
    </row>
    <row r="74" spans="7:64" s="1" customFormat="1" x14ac:dyDescent="0.25">
      <c r="G74" s="68"/>
      <c r="L74" s="68"/>
      <c r="O74" s="68"/>
      <c r="S74" s="68"/>
      <c r="T74" s="68"/>
      <c r="W74" s="68"/>
      <c r="AB74" s="68"/>
      <c r="AE74" s="68"/>
      <c r="AI74" s="68"/>
      <c r="AM74" s="68"/>
      <c r="AR74" s="68"/>
      <c r="AS74" s="68"/>
      <c r="AT74" s="68"/>
      <c r="AW74" s="68"/>
      <c r="AX74" s="68"/>
      <c r="BA74" s="68"/>
      <c r="BE74" s="68"/>
      <c r="BF74" s="68"/>
      <c r="BG74" s="54"/>
      <c r="BH74" s="54"/>
      <c r="BI74" s="54"/>
      <c r="BJ74" s="68"/>
      <c r="BL74" s="259"/>
    </row>
    <row r="75" spans="7:64" s="1" customFormat="1" x14ac:dyDescent="0.25">
      <c r="G75" s="68"/>
      <c r="L75" s="68"/>
      <c r="O75" s="68"/>
      <c r="S75" s="68"/>
      <c r="T75" s="68"/>
      <c r="W75" s="68"/>
      <c r="AB75" s="68"/>
      <c r="AE75" s="68"/>
      <c r="AI75" s="68"/>
      <c r="AM75" s="68"/>
      <c r="AR75" s="68"/>
      <c r="AS75" s="68"/>
      <c r="AT75" s="68"/>
      <c r="AW75" s="68"/>
      <c r="AX75" s="68"/>
      <c r="BA75" s="68"/>
      <c r="BE75" s="68"/>
      <c r="BF75" s="68"/>
      <c r="BG75" s="54"/>
      <c r="BH75" s="54"/>
      <c r="BI75" s="54"/>
      <c r="BJ75" s="68"/>
      <c r="BL75" s="259"/>
    </row>
    <row r="76" spans="7:64" s="1" customFormat="1" x14ac:dyDescent="0.25">
      <c r="G76" s="68"/>
      <c r="L76" s="68"/>
      <c r="O76" s="68"/>
      <c r="S76" s="68"/>
      <c r="T76" s="68"/>
      <c r="W76" s="68"/>
      <c r="AB76" s="68"/>
      <c r="AE76" s="68"/>
      <c r="AI76" s="68"/>
      <c r="AM76" s="68"/>
      <c r="AR76" s="68"/>
      <c r="AS76" s="68"/>
      <c r="AT76" s="68"/>
      <c r="AW76" s="68"/>
      <c r="AX76" s="68"/>
      <c r="BA76" s="68"/>
      <c r="BE76" s="68"/>
      <c r="BF76" s="68"/>
      <c r="BG76" s="54"/>
      <c r="BH76" s="54"/>
      <c r="BI76" s="54"/>
      <c r="BJ76" s="68"/>
      <c r="BL76" s="259"/>
    </row>
    <row r="77" spans="7:64" s="1" customFormat="1" x14ac:dyDescent="0.25">
      <c r="G77" s="68"/>
      <c r="L77" s="68"/>
      <c r="O77" s="68"/>
      <c r="S77" s="68"/>
      <c r="T77" s="68"/>
      <c r="W77" s="68"/>
      <c r="AB77" s="68"/>
      <c r="AE77" s="68"/>
      <c r="AI77" s="68"/>
      <c r="AM77" s="68"/>
      <c r="AR77" s="68"/>
      <c r="AS77" s="68"/>
      <c r="AT77" s="68"/>
      <c r="AW77" s="68"/>
      <c r="AX77" s="68"/>
      <c r="BA77" s="68"/>
      <c r="BE77" s="68"/>
      <c r="BF77" s="68"/>
      <c r="BG77" s="54"/>
      <c r="BH77" s="54"/>
      <c r="BI77" s="54"/>
      <c r="BJ77" s="68"/>
      <c r="BL77" s="259"/>
    </row>
    <row r="78" spans="7:64" s="1" customFormat="1" x14ac:dyDescent="0.25">
      <c r="G78" s="68"/>
      <c r="L78" s="68"/>
      <c r="O78" s="68"/>
      <c r="S78" s="68"/>
      <c r="T78" s="68"/>
      <c r="W78" s="68"/>
      <c r="AB78" s="68"/>
      <c r="AE78" s="68"/>
      <c r="AI78" s="68"/>
      <c r="AM78" s="68"/>
      <c r="AR78" s="68"/>
      <c r="AS78" s="68"/>
      <c r="AT78" s="68"/>
      <c r="AW78" s="68"/>
      <c r="AX78" s="68"/>
      <c r="BA78" s="68"/>
      <c r="BE78" s="68"/>
      <c r="BF78" s="68"/>
      <c r="BG78" s="54"/>
      <c r="BH78" s="54"/>
      <c r="BI78" s="54"/>
      <c r="BJ78" s="68"/>
      <c r="BL78" s="259"/>
    </row>
    <row r="79" spans="7:64" s="1" customFormat="1" x14ac:dyDescent="0.25">
      <c r="G79" s="68"/>
      <c r="L79" s="68"/>
      <c r="O79" s="68"/>
      <c r="S79" s="68"/>
      <c r="T79" s="68"/>
      <c r="W79" s="68"/>
      <c r="AB79" s="68"/>
      <c r="AE79" s="68"/>
      <c r="AI79" s="68"/>
      <c r="AM79" s="68"/>
      <c r="AR79" s="68"/>
      <c r="AS79" s="68"/>
      <c r="AT79" s="68"/>
      <c r="AW79" s="68"/>
      <c r="AX79" s="68"/>
      <c r="BA79" s="68"/>
      <c r="BE79" s="68"/>
      <c r="BF79" s="68"/>
      <c r="BG79" s="54"/>
      <c r="BH79" s="54"/>
      <c r="BI79" s="54"/>
      <c r="BJ79" s="68"/>
      <c r="BL79" s="259"/>
    </row>
    <row r="80" spans="7:64" s="1" customFormat="1" x14ac:dyDescent="0.25">
      <c r="G80" s="68"/>
      <c r="L80" s="68"/>
      <c r="O80" s="68"/>
      <c r="S80" s="68"/>
      <c r="T80" s="68"/>
      <c r="W80" s="68"/>
      <c r="AB80" s="68"/>
      <c r="AE80" s="68"/>
      <c r="AI80" s="68"/>
      <c r="AM80" s="68"/>
      <c r="AR80" s="68"/>
      <c r="AS80" s="68"/>
      <c r="AT80" s="68"/>
      <c r="AW80" s="68"/>
      <c r="AX80" s="68"/>
      <c r="BA80" s="68"/>
      <c r="BE80" s="68"/>
      <c r="BF80" s="68"/>
      <c r="BG80" s="54"/>
      <c r="BH80" s="54"/>
      <c r="BI80" s="54"/>
      <c r="BJ80" s="68"/>
      <c r="BL80" s="259"/>
    </row>
    <row r="81" spans="7:64" s="1" customFormat="1" x14ac:dyDescent="0.25">
      <c r="G81" s="68"/>
      <c r="L81" s="68"/>
      <c r="O81" s="68"/>
      <c r="S81" s="68"/>
      <c r="T81" s="68"/>
      <c r="W81" s="68"/>
      <c r="AB81" s="68"/>
      <c r="AE81" s="68"/>
      <c r="AI81" s="68"/>
      <c r="AM81" s="68"/>
      <c r="AR81" s="68"/>
      <c r="AS81" s="68"/>
      <c r="AT81" s="68"/>
      <c r="AW81" s="68"/>
      <c r="AX81" s="68"/>
      <c r="BA81" s="68"/>
      <c r="BE81" s="68"/>
      <c r="BF81" s="68"/>
      <c r="BG81" s="54"/>
      <c r="BH81" s="54"/>
      <c r="BI81" s="54"/>
      <c r="BJ81" s="68"/>
      <c r="BL81" s="259"/>
    </row>
    <row r="82" spans="7:64" s="1" customFormat="1" x14ac:dyDescent="0.25">
      <c r="G82" s="68"/>
      <c r="L82" s="68"/>
      <c r="O82" s="68"/>
      <c r="S82" s="68"/>
      <c r="T82" s="68"/>
      <c r="W82" s="68"/>
      <c r="AB82" s="68"/>
      <c r="AE82" s="68"/>
      <c r="AI82" s="68"/>
      <c r="AM82" s="68"/>
      <c r="AR82" s="68"/>
      <c r="AS82" s="68"/>
      <c r="AT82" s="68"/>
      <c r="AW82" s="68"/>
      <c r="AX82" s="68"/>
      <c r="BA82" s="68"/>
      <c r="BE82" s="68"/>
      <c r="BF82" s="68"/>
      <c r="BG82" s="54"/>
      <c r="BH82" s="54"/>
      <c r="BI82" s="54"/>
      <c r="BJ82" s="68"/>
      <c r="BL82" s="259"/>
    </row>
    <row r="83" spans="7:64" s="1" customFormat="1" x14ac:dyDescent="0.25">
      <c r="G83" s="68"/>
      <c r="L83" s="68"/>
      <c r="O83" s="68"/>
      <c r="S83" s="68"/>
      <c r="T83" s="68"/>
      <c r="W83" s="68"/>
      <c r="AB83" s="68"/>
      <c r="AE83" s="68"/>
      <c r="AI83" s="68"/>
      <c r="AM83" s="68"/>
      <c r="AR83" s="68"/>
      <c r="AS83" s="68"/>
      <c r="AT83" s="68"/>
      <c r="AW83" s="68"/>
      <c r="AX83" s="68"/>
      <c r="BA83" s="68"/>
      <c r="BE83" s="68"/>
      <c r="BF83" s="68"/>
      <c r="BG83" s="54"/>
      <c r="BH83" s="54"/>
      <c r="BI83" s="54"/>
      <c r="BJ83" s="68"/>
      <c r="BL83" s="259"/>
    </row>
    <row r="84" spans="7:64" s="1" customFormat="1" x14ac:dyDescent="0.25">
      <c r="G84" s="68"/>
      <c r="L84" s="68"/>
      <c r="O84" s="68"/>
      <c r="S84" s="68"/>
      <c r="T84" s="68"/>
      <c r="W84" s="68"/>
      <c r="AB84" s="68"/>
      <c r="AE84" s="68"/>
      <c r="AI84" s="68"/>
      <c r="AM84" s="68"/>
      <c r="AR84" s="68"/>
      <c r="AS84" s="68"/>
      <c r="AT84" s="68"/>
      <c r="AW84" s="68"/>
      <c r="AX84" s="68"/>
      <c r="BA84" s="68"/>
      <c r="BE84" s="68"/>
      <c r="BF84" s="68"/>
      <c r="BG84" s="54"/>
      <c r="BH84" s="54"/>
      <c r="BI84" s="54"/>
      <c r="BJ84" s="68"/>
      <c r="BL84" s="259"/>
    </row>
    <row r="85" spans="7:64" s="1" customFormat="1" x14ac:dyDescent="0.25">
      <c r="G85" s="68"/>
      <c r="L85" s="68"/>
      <c r="O85" s="68"/>
      <c r="S85" s="68"/>
      <c r="T85" s="68"/>
      <c r="W85" s="68"/>
      <c r="AB85" s="68"/>
      <c r="AE85" s="68"/>
      <c r="AI85" s="68"/>
      <c r="AM85" s="68"/>
      <c r="AR85" s="68"/>
      <c r="AS85" s="68"/>
      <c r="AT85" s="68"/>
      <c r="AW85" s="68"/>
      <c r="AX85" s="68"/>
      <c r="BA85" s="68"/>
      <c r="BE85" s="68"/>
      <c r="BF85" s="68"/>
      <c r="BG85" s="54"/>
      <c r="BH85" s="54"/>
      <c r="BI85" s="54"/>
      <c r="BJ85" s="68"/>
      <c r="BL85" s="259"/>
    </row>
    <row r="86" spans="7:64" s="1" customFormat="1" x14ac:dyDescent="0.25">
      <c r="G86" s="68"/>
      <c r="L86" s="68"/>
      <c r="O86" s="68"/>
      <c r="S86" s="68"/>
      <c r="T86" s="68"/>
      <c r="W86" s="68"/>
      <c r="AB86" s="68"/>
      <c r="AE86" s="68"/>
      <c r="AI86" s="68"/>
      <c r="AM86" s="68"/>
      <c r="AR86" s="68"/>
      <c r="AS86" s="68"/>
      <c r="AT86" s="68"/>
      <c r="AW86" s="68"/>
      <c r="AX86" s="68"/>
      <c r="BA86" s="68"/>
      <c r="BE86" s="68"/>
      <c r="BF86" s="68"/>
      <c r="BG86" s="54"/>
      <c r="BH86" s="54"/>
      <c r="BI86" s="54"/>
      <c r="BJ86" s="68"/>
      <c r="BL86" s="259"/>
    </row>
    <row r="87" spans="7:64" s="1" customFormat="1" x14ac:dyDescent="0.25">
      <c r="G87" s="68"/>
      <c r="L87" s="68"/>
      <c r="O87" s="68"/>
      <c r="S87" s="68"/>
      <c r="T87" s="68"/>
      <c r="W87" s="68"/>
      <c r="AB87" s="68"/>
      <c r="AE87" s="68"/>
      <c r="AI87" s="68"/>
      <c r="AM87" s="68"/>
      <c r="AR87" s="68"/>
      <c r="AS87" s="68"/>
      <c r="AT87" s="68"/>
      <c r="AW87" s="68"/>
      <c r="AX87" s="68"/>
      <c r="BA87" s="68"/>
      <c r="BE87" s="68"/>
      <c r="BF87" s="68"/>
      <c r="BG87" s="54"/>
      <c r="BH87" s="54"/>
      <c r="BI87" s="54"/>
      <c r="BJ87" s="68"/>
      <c r="BL87" s="259"/>
    </row>
    <row r="88" spans="7:64" s="1" customFormat="1" x14ac:dyDescent="0.25">
      <c r="G88" s="68"/>
      <c r="L88" s="68"/>
      <c r="O88" s="68"/>
      <c r="S88" s="68"/>
      <c r="T88" s="68"/>
      <c r="W88" s="68"/>
      <c r="AB88" s="68"/>
      <c r="AE88" s="68"/>
      <c r="AI88" s="68"/>
      <c r="AM88" s="68"/>
      <c r="AR88" s="68"/>
      <c r="AS88" s="68"/>
      <c r="AT88" s="68"/>
      <c r="AW88" s="68"/>
      <c r="AX88" s="68"/>
      <c r="BA88" s="68"/>
      <c r="BE88" s="68"/>
      <c r="BF88" s="68"/>
      <c r="BG88" s="54"/>
      <c r="BH88" s="54"/>
      <c r="BI88" s="54"/>
      <c r="BJ88" s="68"/>
      <c r="BL88" s="259"/>
    </row>
    <row r="89" spans="7:64" s="1" customFormat="1" x14ac:dyDescent="0.25">
      <c r="G89" s="68"/>
      <c r="L89" s="68"/>
      <c r="O89" s="68"/>
      <c r="S89" s="68"/>
      <c r="T89" s="68"/>
      <c r="W89" s="68"/>
      <c r="AB89" s="68"/>
      <c r="AE89" s="68"/>
      <c r="AI89" s="68"/>
      <c r="AM89" s="68"/>
      <c r="AR89" s="68"/>
      <c r="AS89" s="68"/>
      <c r="AT89" s="68"/>
      <c r="AW89" s="68"/>
      <c r="AX89" s="68"/>
      <c r="BA89" s="68"/>
      <c r="BE89" s="68"/>
      <c r="BF89" s="68"/>
      <c r="BG89" s="54"/>
      <c r="BH89" s="54"/>
      <c r="BI89" s="54"/>
      <c r="BJ89" s="68"/>
      <c r="BL89" s="259"/>
    </row>
  </sheetData>
  <sheetProtection password="AB5E" sheet="1" objects="1" scenarios="1"/>
  <protectedRanges>
    <protectedRange password="AB5E" sqref="BK8:BL47" name="Range26"/>
    <protectedRange password="AB5E" sqref="BH8:BI47" name="Range25"/>
    <protectedRange password="AB5E" sqref="BF8:BF47" name="Range24"/>
    <protectedRange password="AB5E" sqref="BB14:BB16 BB8:BD9 BB17:BD47 BB10 BC10:BD16" name="Range23"/>
    <protectedRange password="AB5E" sqref="AZ8:AZ47" name="Range22"/>
    <protectedRange password="AB5E" sqref="AX8:AX47" name="Range21"/>
    <protectedRange password="AB5E" sqref="AV8:AV47" name="Range20"/>
    <protectedRange password="AB5E" sqref="AS8:AT47" name="Range19"/>
    <protectedRange password="AB5E" sqref="AN8:AN47" name="Range18"/>
    <protectedRange password="AB5E" sqref="AO8:AQ47" name="Range17"/>
    <protectedRange password="AB5E" sqref="AL8:AL47" name="Range16"/>
    <protectedRange password="AB5E" sqref="AJ8:AJ47" name="Range15"/>
    <protectedRange password="AB5E" sqref="AH8:AH47" name="Range14"/>
    <protectedRange password="AB5E" sqref="AF8:AF47" name="Range13"/>
    <protectedRange password="AB5E" sqref="AC8:AD47" name="Range12"/>
    <protectedRange password="AB5E" sqref="AA8:AA47" name="Range11"/>
    <protectedRange password="AB5E" sqref="AA8:AA47" name="Range10"/>
    <protectedRange password="AB5E" sqref="X8:Y47" name="Range9"/>
    <protectedRange password="AB5E" sqref="V8:V47" name="Range8"/>
    <protectedRange password="AB5E" sqref="T8:T47" name="Range7"/>
    <protectedRange password="AB5E" sqref="R8:R47" name="Range6"/>
    <protectedRange password="AB5E" sqref="P8:P47" name="Range5"/>
    <protectedRange password="AB5E" sqref="M8:N47" name="Range4"/>
    <protectedRange password="AB5E" sqref="H8:J47" name="Range3"/>
    <protectedRange password="AB5E" sqref="F8:F47" name="Range2"/>
    <protectedRange password="AB5E" sqref="C8:D47" name="Range1"/>
    <protectedRange password="AB5E" sqref="A4:A7 C4:C7 B4:B6" name="Range27"/>
    <protectedRange password="AB5E" sqref="A8:B47" name="Range28"/>
  </protectedRanges>
  <mergeCells count="124">
    <mergeCell ref="AN4:AN7"/>
    <mergeCell ref="BJ4:BJ7"/>
    <mergeCell ref="BC5:BD5"/>
    <mergeCell ref="AJ6:AJ7"/>
    <mergeCell ref="AJ4:AL4"/>
    <mergeCell ref="M5:N5"/>
    <mergeCell ref="P5:R5"/>
    <mergeCell ref="AC5:AD5"/>
    <mergeCell ref="BC4:BD4"/>
    <mergeCell ref="BE4:BE7"/>
    <mergeCell ref="B6:B7"/>
    <mergeCell ref="A4:A7"/>
    <mergeCell ref="D4:F4"/>
    <mergeCell ref="G4:G7"/>
    <mergeCell ref="D5:F5"/>
    <mergeCell ref="E6:E7"/>
    <mergeCell ref="I6:I7"/>
    <mergeCell ref="BC3:BK3"/>
    <mergeCell ref="M4:N4"/>
    <mergeCell ref="S4:S7"/>
    <mergeCell ref="W4:W7"/>
    <mergeCell ref="X4:X7"/>
    <mergeCell ref="AM4:AM7"/>
    <mergeCell ref="U6:U7"/>
    <mergeCell ref="AK6:AK7"/>
    <mergeCell ref="AF5:AH5"/>
    <mergeCell ref="AJ5:AL5"/>
    <mergeCell ref="BB4:BB7"/>
    <mergeCell ref="AY6:AY7"/>
    <mergeCell ref="AZ6:AZ7"/>
    <mergeCell ref="BA4:BA7"/>
    <mergeCell ref="D3:X3"/>
    <mergeCell ref="AB4:AB7"/>
    <mergeCell ref="AC4:AD4"/>
    <mergeCell ref="C6:C7"/>
    <mergeCell ref="D6:D7"/>
    <mergeCell ref="F6:F7"/>
    <mergeCell ref="V6:V7"/>
    <mergeCell ref="AF4:AH4"/>
    <mergeCell ref="AF6:AF7"/>
    <mergeCell ref="AG6:AG7"/>
    <mergeCell ref="Z6:Z7"/>
    <mergeCell ref="L4:L7"/>
    <mergeCell ref="Q6:Q7"/>
    <mergeCell ref="H4:K4"/>
    <mergeCell ref="H5:K5"/>
    <mergeCell ref="K6:K7"/>
    <mergeCell ref="AE4:AE7"/>
    <mergeCell ref="H6:H7"/>
    <mergeCell ref="J6:J7"/>
    <mergeCell ref="T4:V4"/>
    <mergeCell ref="T5:V5"/>
    <mergeCell ref="T6:T7"/>
    <mergeCell ref="M6:M7"/>
    <mergeCell ref="N6:N7"/>
    <mergeCell ref="P6:P7"/>
    <mergeCell ref="R6:R7"/>
    <mergeCell ref="O4:O7"/>
    <mergeCell ref="P4:R4"/>
    <mergeCell ref="Y3:AL3"/>
    <mergeCell ref="Y4:AA4"/>
    <mergeCell ref="Y5:AA5"/>
    <mergeCell ref="Y6:Y7"/>
    <mergeCell ref="AH6:AH7"/>
    <mergeCell ref="AL6:AL7"/>
    <mergeCell ref="AD6:AD7"/>
    <mergeCell ref="AA6:AA7"/>
    <mergeCell ref="AC6:AC7"/>
    <mergeCell ref="AI4:AI7"/>
    <mergeCell ref="AO3:BB3"/>
    <mergeCell ref="AS4:AV4"/>
    <mergeCell ref="AS5:AV5"/>
    <mergeCell ref="AS6:AS7"/>
    <mergeCell ref="AT6:AT7"/>
    <mergeCell ref="AX4:AZ4"/>
    <mergeCell ref="AX5:AZ5"/>
    <mergeCell ref="AX6:AX7"/>
    <mergeCell ref="AR4:AR7"/>
    <mergeCell ref="AP6:AP7"/>
    <mergeCell ref="AW4:AW7"/>
    <mergeCell ref="AQ6:AQ7"/>
    <mergeCell ref="AU6:AU7"/>
    <mergeCell ref="AV6:AV7"/>
    <mergeCell ref="AO4:AQ4"/>
    <mergeCell ref="AO5:AQ5"/>
    <mergeCell ref="AO6:AO7"/>
    <mergeCell ref="Y53:AA53"/>
    <mergeCell ref="Y54:AA54"/>
    <mergeCell ref="AC53:AE53"/>
    <mergeCell ref="AC54:AE54"/>
    <mergeCell ref="AF53:AH53"/>
    <mergeCell ref="AF54:AH54"/>
    <mergeCell ref="AJ53:AL53"/>
    <mergeCell ref="AJ54:AL54"/>
    <mergeCell ref="AO53:AQ53"/>
    <mergeCell ref="AO54:AQ54"/>
    <mergeCell ref="D53:F53"/>
    <mergeCell ref="D54:F54"/>
    <mergeCell ref="H53:K53"/>
    <mergeCell ref="H54:K54"/>
    <mergeCell ref="M53:N53"/>
    <mergeCell ref="M54:N54"/>
    <mergeCell ref="P53:R53"/>
    <mergeCell ref="P54:R54"/>
    <mergeCell ref="T53:V53"/>
    <mergeCell ref="T54:V54"/>
    <mergeCell ref="AS53:AV53"/>
    <mergeCell ref="AS54:AV54"/>
    <mergeCell ref="AX53:AZ53"/>
    <mergeCell ref="AX54:AZ54"/>
    <mergeCell ref="BB53:BD53"/>
    <mergeCell ref="BB54:BD54"/>
    <mergeCell ref="BF53:BI53"/>
    <mergeCell ref="BF54:BI54"/>
    <mergeCell ref="BL4:BL7"/>
    <mergeCell ref="BC6:BC7"/>
    <mergeCell ref="BD6:BD7"/>
    <mergeCell ref="BG6:BG7"/>
    <mergeCell ref="BH6:BH7"/>
    <mergeCell ref="BF4:BI4"/>
    <mergeCell ref="BF5:BI5"/>
    <mergeCell ref="BF6:BF7"/>
    <mergeCell ref="BI6:BI7"/>
    <mergeCell ref="BK4:BK7"/>
  </mergeCells>
  <conditionalFormatting sqref="AD11">
    <cfRule type="expression" dxfId="46" priority="46" stopIfTrue="1">
      <formula>#REF!+AB11+AC11&gt;0</formula>
    </cfRule>
  </conditionalFormatting>
  <conditionalFormatting sqref="AF22:AF47 AH22:AH47 AH20 AF20 AH14:AH16 AF14:AF16 AH10:AH11 AF8:AF11">
    <cfRule type="expression" dxfId="45" priority="49" stopIfTrue="1">
      <formula>#REF!+#REF!+AE8&gt;0</formula>
    </cfRule>
  </conditionalFormatting>
  <conditionalFormatting sqref="AJ11 AJ22:AJ47 AJ20 AJ14:AJ16">
    <cfRule type="expression" dxfId="44" priority="50" stopIfTrue="1">
      <formula>AG11+#REF!+AI11&gt;0</formula>
    </cfRule>
  </conditionalFormatting>
  <conditionalFormatting sqref="AL11 AL22:AL47 AL20 AL14:AL16">
    <cfRule type="expression" dxfId="43" priority="51" stopIfTrue="1">
      <formula>#REF!+AJ11+AK11&gt;0</formula>
    </cfRule>
  </conditionalFormatting>
  <conditionalFormatting sqref="AL10 AJ10">
    <cfRule type="expression" dxfId="42" priority="52" stopIfTrue="1">
      <formula>#REF!+#REF!+AI10&gt;0</formula>
    </cfRule>
  </conditionalFormatting>
  <conditionalFormatting sqref="AD20 AD22:AD47">
    <cfRule type="expression" dxfId="41" priority="54" stopIfTrue="1">
      <formula>#REF!+AB23+#REF!&gt;0</formula>
    </cfRule>
  </conditionalFormatting>
  <conditionalFormatting sqref="AD14:AD16 AD20">
    <cfRule type="expression" dxfId="40" priority="73" stopIfTrue="1">
      <formula>#REF!+AB14+#REF!&gt;0</formula>
    </cfRule>
  </conditionalFormatting>
  <conditionalFormatting sqref="AD10:AD11">
    <cfRule type="expression" dxfId="39" priority="74" stopIfTrue="1">
      <formula>#REF!+#REF!+#REF!&gt;0</formula>
    </cfRule>
  </conditionalFormatting>
  <conditionalFormatting sqref="AD34:AD47">
    <cfRule type="expression" dxfId="38" priority="86" stopIfTrue="1">
      <formula>#REF!+AB34+#REF!&gt;0</formula>
    </cfRule>
  </conditionalFormatting>
  <conditionalFormatting sqref="AD29:AD33">
    <cfRule type="expression" dxfId="37" priority="90" stopIfTrue="1">
      <formula>#REF!+AB29+AC25&gt;0</formula>
    </cfRule>
  </conditionalFormatting>
  <conditionalFormatting sqref="AF21 AH21">
    <cfRule type="expression" dxfId="36" priority="33" stopIfTrue="1">
      <formula>#REF!+#REF!+AE21&gt;0</formula>
    </cfRule>
  </conditionalFormatting>
  <conditionalFormatting sqref="AJ21">
    <cfRule type="expression" dxfId="35" priority="34" stopIfTrue="1">
      <formula>AG21+#REF!+AI21&gt;0</formula>
    </cfRule>
  </conditionalFormatting>
  <conditionalFormatting sqref="AL21">
    <cfRule type="expression" dxfId="34" priority="35" stopIfTrue="1">
      <formula>#REF!+AJ21+AK21&gt;0</formula>
    </cfRule>
  </conditionalFormatting>
  <conditionalFormatting sqref="AD21">
    <cfRule type="expression" dxfId="33" priority="37" stopIfTrue="1">
      <formula>#REF!+AB24+#REF!&gt;0</formula>
    </cfRule>
  </conditionalFormatting>
  <conditionalFormatting sqref="AD21">
    <cfRule type="expression" dxfId="32" priority="38" stopIfTrue="1">
      <formula>#REF!+AB21+#REF!&gt;0</formula>
    </cfRule>
  </conditionalFormatting>
  <conditionalFormatting sqref="AD14:AD16">
    <cfRule type="expression" dxfId="31" priority="94" stopIfTrue="1">
      <formula>#REF!+AB20+#REF!&gt;0</formula>
    </cfRule>
  </conditionalFormatting>
  <conditionalFormatting sqref="AF19 AH19">
    <cfRule type="expression" dxfId="30" priority="28" stopIfTrue="1">
      <formula>#REF!+#REF!+AE19&gt;0</formula>
    </cfRule>
  </conditionalFormatting>
  <conditionalFormatting sqref="AJ19">
    <cfRule type="expression" dxfId="29" priority="29" stopIfTrue="1">
      <formula>AG19+#REF!+AI19&gt;0</formula>
    </cfRule>
  </conditionalFormatting>
  <conditionalFormatting sqref="AL19">
    <cfRule type="expression" dxfId="28" priority="30" stopIfTrue="1">
      <formula>#REF!+AJ19+AK19&gt;0</formula>
    </cfRule>
  </conditionalFormatting>
  <conditionalFormatting sqref="AD19">
    <cfRule type="expression" dxfId="27" priority="31" stopIfTrue="1">
      <formula>#REF!+AB19+#REF!&gt;0</formula>
    </cfRule>
  </conditionalFormatting>
  <conditionalFormatting sqref="AD19">
    <cfRule type="expression" dxfId="26" priority="32" stopIfTrue="1">
      <formula>#REF!+AB23+#REF!&gt;0</formula>
    </cfRule>
  </conditionalFormatting>
  <conditionalFormatting sqref="AD13">
    <cfRule type="expression" dxfId="25" priority="23" stopIfTrue="1">
      <formula>#REF!+AB13+AC13&gt;0</formula>
    </cfRule>
  </conditionalFormatting>
  <conditionalFormatting sqref="AF13 AH13">
    <cfRule type="expression" dxfId="24" priority="24" stopIfTrue="1">
      <formula>#REF!+#REF!+AE13&gt;0</formula>
    </cfRule>
  </conditionalFormatting>
  <conditionalFormatting sqref="AJ13">
    <cfRule type="expression" dxfId="23" priority="25" stopIfTrue="1">
      <formula>AG13+#REF!+AI13&gt;0</formula>
    </cfRule>
  </conditionalFormatting>
  <conditionalFormatting sqref="AL13">
    <cfRule type="expression" dxfId="22" priority="26" stopIfTrue="1">
      <formula>#REF!+AJ13+AK13&gt;0</formula>
    </cfRule>
  </conditionalFormatting>
  <conditionalFormatting sqref="AD13">
    <cfRule type="expression" dxfId="21" priority="27" stopIfTrue="1">
      <formula>#REF!+#REF!+#REF!&gt;0</formula>
    </cfRule>
  </conditionalFormatting>
  <conditionalFormatting sqref="AD12">
    <cfRule type="expression" dxfId="20" priority="18" stopIfTrue="1">
      <formula>#REF!+AB12+AC12&gt;0</formula>
    </cfRule>
  </conditionalFormatting>
  <conditionalFormatting sqref="AF12 AH12">
    <cfRule type="expression" dxfId="19" priority="19" stopIfTrue="1">
      <formula>#REF!+#REF!+AE12&gt;0</formula>
    </cfRule>
  </conditionalFormatting>
  <conditionalFormatting sqref="AJ12">
    <cfRule type="expression" dxfId="18" priority="20" stopIfTrue="1">
      <formula>AG12+#REF!+AI12&gt;0</formula>
    </cfRule>
  </conditionalFormatting>
  <conditionalFormatting sqref="AL12">
    <cfRule type="expression" dxfId="17" priority="21" stopIfTrue="1">
      <formula>#REF!+AJ12+AK12&gt;0</formula>
    </cfRule>
  </conditionalFormatting>
  <conditionalFormatting sqref="AD12">
    <cfRule type="expression" dxfId="16" priority="22" stopIfTrue="1">
      <formula>#REF!+#REF!+#REF!&gt;0</formula>
    </cfRule>
  </conditionalFormatting>
  <conditionalFormatting sqref="AH17 AF17">
    <cfRule type="expression" dxfId="15" priority="13" stopIfTrue="1">
      <formula>#REF!+#REF!+AE17&gt;0</formula>
    </cfRule>
  </conditionalFormatting>
  <conditionalFormatting sqref="AJ17">
    <cfRule type="expression" dxfId="14" priority="14" stopIfTrue="1">
      <formula>AG17+#REF!+AI17&gt;0</formula>
    </cfRule>
  </conditionalFormatting>
  <conditionalFormatting sqref="AL17">
    <cfRule type="expression" dxfId="13" priority="15" stopIfTrue="1">
      <formula>#REF!+AJ17+AK17&gt;0</formula>
    </cfRule>
  </conditionalFormatting>
  <conditionalFormatting sqref="AD17">
    <cfRule type="expression" dxfId="12" priority="16" stopIfTrue="1">
      <formula>#REF!+AB17+#REF!&gt;0</formula>
    </cfRule>
  </conditionalFormatting>
  <conditionalFormatting sqref="AD17">
    <cfRule type="expression" dxfId="11" priority="17" stopIfTrue="1">
      <formula>#REF!+AB23+#REF!&gt;0</formula>
    </cfRule>
  </conditionalFormatting>
  <conditionalFormatting sqref="AD22:AD28">
    <cfRule type="expression" dxfId="10" priority="98" stopIfTrue="1">
      <formula>#REF!+AB22+AC15&gt;0</formula>
    </cfRule>
  </conditionalFormatting>
  <conditionalFormatting sqref="AH18 AF18">
    <cfRule type="expression" dxfId="9" priority="8" stopIfTrue="1">
      <formula>#REF!+#REF!+AE18&gt;0</formula>
    </cfRule>
  </conditionalFormatting>
  <conditionalFormatting sqref="AJ18">
    <cfRule type="expression" dxfId="8" priority="9" stopIfTrue="1">
      <formula>AG18+#REF!+AI18&gt;0</formula>
    </cfRule>
  </conditionalFormatting>
  <conditionalFormatting sqref="AL18">
    <cfRule type="expression" dxfId="7" priority="10" stopIfTrue="1">
      <formula>#REF!+AJ18+AK18&gt;0</formula>
    </cfRule>
  </conditionalFormatting>
  <conditionalFormatting sqref="AD18">
    <cfRule type="expression" dxfId="6" priority="11" stopIfTrue="1">
      <formula>#REF!+AB18+#REF!&gt;0</formula>
    </cfRule>
  </conditionalFormatting>
  <conditionalFormatting sqref="AD18">
    <cfRule type="expression" dxfId="5" priority="12" stopIfTrue="1">
      <formula>#REF!+AB24+#REF!&gt;0</formula>
    </cfRule>
  </conditionalFormatting>
  <conditionalFormatting sqref="AF9">
    <cfRule type="expression" dxfId="4" priority="5" stopIfTrue="1">
      <formula>#REF!+#REF!+AE9&gt;0</formula>
    </cfRule>
  </conditionalFormatting>
  <conditionalFormatting sqref="AD8:AD9">
    <cfRule type="expression" dxfId="3" priority="4" stopIfTrue="1">
      <formula>#REF!+#REF!+#REF!&gt;0</formula>
    </cfRule>
  </conditionalFormatting>
  <conditionalFormatting sqref="AH8:AH9">
    <cfRule type="expression" dxfId="2" priority="3" stopIfTrue="1">
      <formula>#REF!+#REF!+AG8&gt;0</formula>
    </cfRule>
  </conditionalFormatting>
  <conditionalFormatting sqref="AJ8:AJ9">
    <cfRule type="expression" dxfId="1" priority="2" stopIfTrue="1">
      <formula>AG8+#REF!+AI8&gt;0</formula>
    </cfRule>
  </conditionalFormatting>
  <conditionalFormatting sqref="AL8:AL9">
    <cfRule type="expression" dxfId="0" priority="1" stopIfTrue="1">
      <formula>#REF!+AJ8+AK8&gt;0</formula>
    </cfRule>
  </conditionalFormatting>
  <dataValidations xWindow="156" yWindow="494" count="55">
    <dataValidation allowBlank="1" showInputMessage="1" showErrorMessage="1" prompt="Operations that are taken either to allow only certified (predefined) data or to prevent the acceptance of uncertified data" sqref="AF5 AJ5 AC5 AO5 D4:F4 Y5 P5" xr:uid="{00000000-0002-0000-0200-000000000000}"/>
    <dataValidation allowBlank="1" showInputMessage="1" showErrorMessage="1" prompt="Pieces of software integrated with existing software units or to be built as components in the system." sqref="BC4:BD4" xr:uid="{00000000-0002-0000-0200-000001000000}"/>
    <dataValidation allowBlank="1" showInputMessage="1" showErrorMessage="1" prompt="Number of independent paths through the control flow graph of the Elementary Process (similar to cyclomatic complexity)" sqref="AY6:AY7" xr:uid="{00000000-0002-0000-0200-000002000000}"/>
    <dataValidation allowBlank="1" showInputMessage="1" showErrorMessage="1" prompt="Any change in a transaction that deals with structure, format, or administrative information not directly relevant to functionality that is seen by the user" sqref="M4:N4" xr:uid="{00000000-0002-0000-0200-000003000000}"/>
    <dataValidation allowBlank="1" showInputMessage="1" showErrorMessage="1" prompt="Data Movements within the application boundary" sqref="P4" xr:uid="{00000000-0002-0000-0200-000004000000}"/>
    <dataValidation allowBlank="1" showInputMessage="1" showErrorMessage="1" prompt="Information provided to the users that explains or clarify how the software provides its functionality" sqref="AC4:AD4" xr:uid="{00000000-0002-0000-0200-000005000000}"/>
    <dataValidation allowBlank="1" showInputMessage="1" showErrorMessage="1" prompt="Operations that are provided to enable the software to accept multiple input methods" sqref="AF4" xr:uid="{00000000-0002-0000-0200-000006000000}"/>
    <dataValidation allowBlank="1" showInputMessage="1" showErrorMessage="1" prompt="Operations that are provided to enable the software to deliver multiple output methods" sqref="AJ4" xr:uid="{00000000-0002-0000-0200-000007000000}"/>
    <dataValidation allowBlank="1" showInputMessage="1" showErrorMessage="1" prompt="On how many Platform(s) does the application execute(s)?  " sqref="AP6" xr:uid="{00000000-0002-0000-0200-000008000000}"/>
    <dataValidation allowBlank="1" showInputMessage="1" showErrorMessage="1" promptTitle="Nesting Level" prompt="The number of conditional validations ( IF-Else combo/”While” loop/”For” loop or any other validation blocks) in the longest chain of validation _x000a_" sqref="D6:D7" xr:uid="{00000000-0002-0000-0200-000009000000}"/>
    <dataValidation allowBlank="1" showInputMessage="1" showErrorMessage="1" prompt="1. Nesting level complexity_x000a_a. Low complexity: 5 nesting levels or less_x000a_b. Average complexity: more than 5 nesting levels and less than or equal to 14_x000a_c. High complexity: More than 14 nesting levels" sqref="E6:E7" xr:uid="{00000000-0002-0000-0200-00000A000000}"/>
    <dataValidation allowBlank="1" showInputMessage="1" showErrorMessage="1" prompt="How many Data Element Types (DETs) used for validation" sqref="F6:F7" xr:uid="{00000000-0002-0000-0200-00000B000000}"/>
    <dataValidation allowBlank="1" showInputMessage="1" showErrorMessage="1" prompt="Logical:_x000a_Decision making or evaluating a condition using data that exist in one or more logical files. _x000a_Methematical: _x000a_Transformation of data and / or use of control information that exist in one or more logical files_x000a_" sqref="H6:H7" xr:uid="{00000000-0002-0000-0200-00000C000000}"/>
    <dataValidation type="list" allowBlank="1" showInputMessage="1" showErrorMessage="1" sqref="H8:H47" xr:uid="{00000000-0002-0000-0200-00000D000000}">
      <formula1>Math_log</formula1>
    </dataValidation>
    <dataValidation allowBlank="1" showInputMessage="1" showErrorMessage="1" prompt="Based on table 1-6 of the APM" sqref="K6:K7" xr:uid="{00000000-0002-0000-0200-00000E000000}"/>
    <dataValidation allowBlank="1" showInputMessage="1" showErrorMessage="1" prompt="a. Low: Data type conversions or simple formatting_x000a_b. Average: Those between Simple and Complex_x000a_c. High: Involves Encryption/Decryption of any kind and more_x000a_" sqref="M6:M7" xr:uid="{00000000-0002-0000-0200-00000F000000}"/>
    <dataValidation type="list" allowBlank="1" showInputMessage="1" showErrorMessage="1" sqref="M8:M47" xr:uid="{00000000-0002-0000-0200-000010000000}">
      <formula1>D_Formatting</formula1>
    </dataValidation>
    <dataValidation allowBlank="1" showInputMessage="1" showErrorMessage="1" prompt="How many Data Element Types (DETs) are involved in the processing of the Elementary Process?" sqref="N6:N7 AF6:AF7 R6:R7 I6:I7 AJ6:AJ7 AS6:AS7 AZ6:AZ7 BF6:BF7" xr:uid="{00000000-0002-0000-0200-000011000000}"/>
    <dataValidation allowBlank="1" showInputMessage="1" showErrorMessage="1" prompt="Functionality that is provided by adding, changing or deleting reference data information from the database  with no change of the code or the database structure" sqref="T4:T5" xr:uid="{00000000-0002-0000-0200-000012000000}"/>
    <dataValidation allowBlank="1" showInputMessage="1" showErrorMessage="1" promptTitle="A record" prompt="One row in a logical file_x000a_" sqref="T6:T7" xr:uid="{00000000-0002-0000-0200-000013000000}"/>
    <dataValidation allowBlank="1" showInputMessage="1" showErrorMessage="1" promptTitle="Attribute" prompt="An independent parameter that has a unique business meaning and contains a set of different values_x000a_" sqref="V6:V7" xr:uid="{00000000-0002-0000-0200-000014000000}"/>
    <dataValidation allowBlank="1" showInputMessage="1" showErrorMessage="1" prompt="Complexity is based on number of Records configured" sqref="U6:U7" xr:uid="{00000000-0002-0000-0200-000015000000}"/>
    <dataValidation allowBlank="1" showInputMessage="1" showErrorMessage="1" prompt="Information changed, added to or deleted from user interface, that does not affect the functionality of the system (but affect non-functional characteristics such as usability, Learnability, attractiveness, accessibility)" sqref="Y4" xr:uid="{00000000-0002-0000-0200-000016000000}"/>
    <dataValidation allowBlank="1" showInputMessage="1" showErrorMessage="1" promptTitle="UI Element" prompt="UI Element (User Interface Element) is a unique user identifiable structural element which makes up the user interface. It includes elements " sqref="AA6:AA7" xr:uid="{00000000-0002-0000-0200-000017000000}"/>
    <dataValidation allowBlank="1" showInputMessage="1" showErrorMessage="1" promptTitle="UI Element Property" prompt="Each UI Element is associated with certain properties which define the behavior and look and feel of the User Interface Element. For example a Window would have properties like: background color, Active Border, Active Caption etc. " sqref="Y6:Y7" xr:uid="{00000000-0002-0000-0200-000018000000}"/>
    <dataValidation allowBlank="1" showInputMessage="1" showErrorMessage="1" prompt="Based on number of properties" sqref="Z6:Z7" xr:uid="{00000000-0002-0000-0200-000019000000}"/>
    <dataValidation allowBlank="1" showInputMessage="1" showErrorMessage="1" promptTitle="Help Item" prompt="A Help Item is the smallest, unique, user identifiable help or information topic which provides the user supportive information or details about a particular part of software" sqref="AD6:AD7" xr:uid="{00000000-0002-0000-0200-00001A000000}"/>
    <dataValidation allowBlank="1" showInputMessage="1" showErrorMessage="1" promptTitle="Input Method" prompt="A technique or media type, which is used to deliver data into the assessed application, such as Bar Code reader, Fax, PDF, Office document, screen, voice message, SMS, Smart mobile device etc._x000a_" sqref="AH6:AH7" xr:uid="{00000000-0002-0000-0200-00001B000000}"/>
    <dataValidation allowBlank="1" showInputMessage="1" showErrorMessage="1" promptTitle="Output Method" prompt="A technique or media type, which is used to deliver data from the assessed application, such as Fax, PDF, Office document, screen, voice message, SMS etc_x000a_" sqref="AL6:AL7" xr:uid="{00000000-0002-0000-0200-00001C000000}"/>
    <dataValidation allowBlank="1" showInputMessage="1" showErrorMessage="1" prompt="Operations that are provided to support the ability of the software to work on more than one platform" sqref="AO4" xr:uid="{00000000-0002-0000-0200-00001D000000}"/>
    <dataValidation type="list" allowBlank="1" showInputMessage="1" showErrorMessage="1" sqref="AO8:AO47" xr:uid="{00000000-0002-0000-0200-00001E000000}">
      <formula1>Platforms</formula1>
    </dataValidation>
    <dataValidation allowBlank="1" showInputMessage="1" showErrorMessage="1" prompt="Features and operations that are added to the database without affecting the functionality that is provided" sqref="AS4" xr:uid="{00000000-0002-0000-0200-00001F000000}"/>
    <dataValidation allowBlank="1" showInputMessage="1" showErrorMessage="1" promptTitle="A change" prompt="See definition of a change in the APM" sqref="AV6:AV7" xr:uid="{00000000-0002-0000-0200-000020000000}"/>
    <dataValidation allowBlank="1" showInputMessage="1" showErrorMessage="1" prompt="Several batch jobs are not considered in FP because they do not qualify as any of the transaction function as per FP guidelines. Since such jobs are considered technical requirements these can be sized in this subcategory" sqref="AX4" xr:uid="{00000000-0002-0000-0200-000021000000}"/>
    <dataValidation allowBlank="1" showInputMessage="1" showErrorMessage="1" promptTitle="A software component" prompt="A piece of software offering a predefined service and which is able to communicate with other components via standard interfaces." sqref="BC6:BC7" xr:uid="{00000000-0002-0000-0200-000022000000}"/>
    <dataValidation allowBlank="1" showInputMessage="1" showErrorMessage="1" prompt="Adding more input/output interfaces without changing the functionality is not considered functional change and hence such changes are not sized by FP. This sub-category should be used to size such changes in application" sqref="BF4" xr:uid="{00000000-0002-0000-0200-000023000000}"/>
    <dataValidation allowBlank="1" showInputMessage="1" showErrorMessage="1" prompt="Extensive logical decisions, Boolean operations, and extensive mathematical operations applied on the process." sqref="H4" xr:uid="{00000000-0002-0000-0200-000024000000}"/>
    <dataValidation allowBlank="1" showInputMessage="1" showErrorMessage="1" promptTitle="Have a comment?" prompt="Add comments at the right-end of each row" sqref="C6:C47" xr:uid="{00000000-0002-0000-0200-000025000000}"/>
    <dataValidation type="whole" operator="greaterThanOrEqual" allowBlank="1" showInputMessage="1" showErrorMessage="1" error="only whole postive numbers are accepted" sqref="BH8:BI47 AH8:AH47 AA8:AA47 AD8:AD47 R8:R47 F8:F47 BC8:BD47 N8:N47 V8:V47 I8:I47 AZ8:AZ47 AL8:AL47 AV8:AV10" xr:uid="{00000000-0002-0000-0200-000026000000}">
      <formula1>0</formula1>
    </dataValidation>
    <dataValidation type="decimal" operator="greaterThanOrEqual" allowBlank="1" showInputMessage="1" showErrorMessage="1" error="only positive numbers are accepted" sqref="BB14:BB47 BK8:BK47 X8:X47 AN8:AN47 BB8:BB10" xr:uid="{00000000-0002-0000-0200-000027000000}">
      <formula1>0</formula1>
    </dataValidation>
    <dataValidation type="list" allowBlank="1" showInputMessage="1" showErrorMessage="1" sqref="AC8:AC47" xr:uid="{00000000-0002-0000-0200-000028000000}">
      <formula1>Help_Type</formula1>
    </dataValidation>
    <dataValidation type="list" allowBlank="1" showInputMessage="1" showErrorMessage="1" sqref="AQ8:AQ47" xr:uid="{00000000-0002-0000-0200-000029000000}">
      <formula1>"Same family, Different family,Different Browsers"</formula1>
    </dataValidation>
    <dataValidation type="whole" operator="greaterThanOrEqual" allowBlank="1" showInputMessage="1" showErrorMessage="1" sqref="AP8:AP47" xr:uid="{00000000-0002-0000-0200-00002A000000}">
      <formula1>2</formula1>
    </dataValidation>
    <dataValidation type="list" operator="greaterThanOrEqual" allowBlank="1" showInputMessage="1" showErrorMessage="1" error="only whole postive numbers are accepted" sqref="D8:D47" xr:uid="{00000000-0002-0000-0200-00002B000000}">
      <formula1>Nesting</formula1>
    </dataValidation>
    <dataValidation type="list" operator="greaterThanOrEqual" allowBlank="1" showInputMessage="1" showErrorMessage="1" error="only whole postive numbers are accepted" sqref="J8:J47" xr:uid="{00000000-0002-0000-0200-00002C000000}">
      <formula1>FTR_Validation</formula1>
    </dataValidation>
    <dataValidation type="list" showInputMessage="1" showErrorMessage="1" sqref="B8:B47" xr:uid="{00000000-0002-0000-0200-00002D000000}">
      <formula1>"ADD,CHG,DEL"</formula1>
    </dataValidation>
    <dataValidation type="list" operator="greaterThanOrEqual" allowBlank="1" showInputMessage="1" showErrorMessage="1" error="only whole postive numbers are accepted" sqref="P8:P47" xr:uid="{00000000-0002-0000-0200-00002E000000}">
      <formula1>FTR_1.4</formula1>
    </dataValidation>
    <dataValidation type="list" operator="greaterThanOrEqual" allowBlank="1" showInputMessage="1" showErrorMessage="1" error="only whole postive numbers are accepted" sqref="T8:T47" xr:uid="{00000000-0002-0000-0200-00002F000000}">
      <formula1>Records_1.5</formula1>
    </dataValidation>
    <dataValidation type="list" operator="greaterThanOrEqual" allowBlank="1" showInputMessage="1" showErrorMessage="1" error="only whole postive numbers are accepted" sqref="Y8:Y47" xr:uid="{00000000-0002-0000-0200-000030000000}">
      <formula1>Properties_2.1</formula1>
    </dataValidation>
    <dataValidation type="list" operator="greaterThanOrEqual" allowBlank="1" showInputMessage="1" showErrorMessage="1" error="only whole postive numbers are accepted" sqref="AF8:AF47" xr:uid="{00000000-0002-0000-0200-000031000000}">
      <formula1>DETs_2.3</formula1>
    </dataValidation>
    <dataValidation type="list" operator="greaterThanOrEqual" allowBlank="1" showInputMessage="1" showErrorMessage="1" error="only whole postive numbers are accepted" sqref="AJ8:AJ47" xr:uid="{00000000-0002-0000-0200-000032000000}">
      <formula1>DETs_2.4</formula1>
    </dataValidation>
    <dataValidation type="list" operator="greaterThanOrEqual" allowBlank="1" showInputMessage="1" showErrorMessage="1" error="only whole postive numbers are accepted" sqref="AS8:AS47" xr:uid="{00000000-0002-0000-0200-000033000000}">
      <formula1>DETs_3.2</formula1>
    </dataValidation>
    <dataValidation type="list" operator="greaterThanOrEqual" allowBlank="1" showInputMessage="1" showErrorMessage="1" error="only whole postive numbers are accepted" sqref="AT8:AT47" xr:uid="{00000000-0002-0000-0200-000034000000}">
      <formula1>RETs_3.2</formula1>
    </dataValidation>
    <dataValidation type="list" operator="greaterThanOrEqual" allowBlank="1" showInputMessage="1" showErrorMessage="1" error="only whole postive numbers are accepted" sqref="AX8:AX47" xr:uid="{00000000-0002-0000-0200-000035000000}">
      <formula1>FTRs_3.3</formula1>
    </dataValidation>
    <dataValidation type="list" operator="greaterThanOrEqual" allowBlank="1" showInputMessage="1" showErrorMessage="1" error="only whole postive numbers are accepted" sqref="BF8:BF47" xr:uid="{00000000-0002-0000-0200-000036000000}">
      <formula1>DETs_4.2</formula1>
    </dataValidation>
  </dataValidations>
  <pageMargins left="0.7" right="0.7" top="0.75" bottom="0.75" header="0.3" footer="0.3"/>
  <pageSetup orientation="portrait" r:id="rId1"/>
  <headerFooter>
    <oddFooter>&amp;LLevel 1 – Confidential</oddFooter>
  </headerFooter>
  <drawing r:id="rId2"/>
  <legacyDrawing r:id="rId3"/>
  <controls>
    <mc:AlternateContent xmlns:mc="http://schemas.openxmlformats.org/markup-compatibility/2006">
      <mc:Choice Requires="x14">
        <control shapeId="38941" r:id="rId4" name="CmdInsert">
          <controlPr defaultSize="0" autoLine="0" autoPict="0" r:id="rId5">
            <anchor moveWithCells="1">
              <from>
                <xdr:col>0</xdr:col>
                <xdr:colOff>228600</xdr:colOff>
                <xdr:row>5</xdr:row>
                <xdr:rowOff>200025</xdr:rowOff>
              </from>
              <to>
                <xdr:col>2</xdr:col>
                <xdr:colOff>1085850</xdr:colOff>
                <xdr:row>5</xdr:row>
                <xdr:rowOff>666750</xdr:rowOff>
              </to>
            </anchor>
          </controlPr>
        </control>
      </mc:Choice>
      <mc:Fallback>
        <control shapeId="38941" r:id="rId4" name="CmdInse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autoPageBreaks="0"/>
  </sheetPr>
  <dimension ref="A1:G40"/>
  <sheetViews>
    <sheetView tabSelected="1" workbookViewId="0">
      <pane ySplit="4" topLeftCell="A5" activePane="bottomLeft" state="frozen"/>
      <selection activeCell="D15" sqref="D15"/>
      <selection pane="bottomLeft" activeCell="G28" sqref="G28"/>
    </sheetView>
  </sheetViews>
  <sheetFormatPr defaultRowHeight="12.75" x14ac:dyDescent="0.2"/>
  <cols>
    <col min="1" max="1" width="16.42578125" style="161" customWidth="1"/>
    <col min="2" max="2" width="27" style="147" customWidth="1"/>
    <col min="3" max="3" width="10.42578125" style="161" bestFit="1" customWidth="1"/>
    <col min="4" max="4" width="8" style="161" customWidth="1"/>
    <col min="5" max="5" width="8.42578125" style="161" customWidth="1"/>
    <col min="6" max="6" width="7.7109375" style="161" customWidth="1"/>
    <col min="7" max="7" width="17.85546875" style="161" customWidth="1"/>
    <col min="8" max="16384" width="9.140625" style="149"/>
  </cols>
  <sheetData>
    <row r="1" spans="1:7" x14ac:dyDescent="0.2">
      <c r="A1" s="146" t="s">
        <v>217</v>
      </c>
      <c r="C1" s="148"/>
      <c r="D1" s="148"/>
      <c r="E1" s="148"/>
      <c r="F1" s="148"/>
      <c r="G1" s="148"/>
    </row>
    <row r="2" spans="1:7" x14ac:dyDescent="0.2">
      <c r="A2" s="146"/>
      <c r="B2" s="146"/>
      <c r="C2" s="148"/>
      <c r="D2" s="148"/>
      <c r="E2" s="148"/>
      <c r="F2" s="148"/>
      <c r="G2" s="150"/>
    </row>
    <row r="3" spans="1:7" x14ac:dyDescent="0.2">
      <c r="C3" s="549" t="s">
        <v>182</v>
      </c>
      <c r="D3" s="550"/>
      <c r="E3" s="550"/>
      <c r="F3" s="551"/>
    </row>
    <row r="4" spans="1:7" x14ac:dyDescent="0.2">
      <c r="A4" s="151" t="s">
        <v>195</v>
      </c>
      <c r="B4" s="152"/>
      <c r="C4" s="153" t="s">
        <v>317</v>
      </c>
      <c r="D4" s="153" t="s">
        <v>318</v>
      </c>
      <c r="E4" s="153" t="s">
        <v>319</v>
      </c>
      <c r="F4" s="153" t="s">
        <v>320</v>
      </c>
      <c r="G4" s="153" t="s">
        <v>222</v>
      </c>
    </row>
    <row r="5" spans="1:7" x14ac:dyDescent="0.2">
      <c r="A5" s="150" t="s">
        <v>191</v>
      </c>
      <c r="C5" s="154"/>
      <c r="D5" s="154"/>
      <c r="E5" s="154"/>
      <c r="F5" s="154"/>
      <c r="G5" s="155">
        <f>'SNAP Counting Sheet'!X49</f>
        <v>0</v>
      </c>
    </row>
    <row r="6" spans="1:7" x14ac:dyDescent="0.2">
      <c r="A6" s="156">
        <v>1.1000000000000001</v>
      </c>
      <c r="B6" s="157" t="s">
        <v>1</v>
      </c>
      <c r="C6" s="158">
        <f>'SNAP Counting Sheet'!G49</f>
        <v>12</v>
      </c>
      <c r="D6" s="158">
        <f>'SNAP Counting Sheet'!G50</f>
        <v>12</v>
      </c>
      <c r="E6" s="158">
        <f>'SNAP Counting Sheet'!G51</f>
        <v>0</v>
      </c>
      <c r="F6" s="158">
        <f>'SNAP Counting Sheet'!G52</f>
        <v>0</v>
      </c>
      <c r="G6" s="155"/>
    </row>
    <row r="7" spans="1:7" ht="25.5" x14ac:dyDescent="0.2">
      <c r="A7" s="156">
        <v>1.2</v>
      </c>
      <c r="B7" s="159" t="s">
        <v>184</v>
      </c>
      <c r="C7" s="155">
        <f>'SNAP Counting Sheet'!L49</f>
        <v>12</v>
      </c>
      <c r="D7" s="155">
        <f>'SNAP Counting Sheet'!L50</f>
        <v>12</v>
      </c>
      <c r="E7" s="155">
        <f>'SNAP Counting Sheet'!L51</f>
        <v>0</v>
      </c>
      <c r="F7" s="155">
        <f>'SNAP Counting Sheet'!L52</f>
        <v>0</v>
      </c>
      <c r="G7" s="155"/>
    </row>
    <row r="8" spans="1:7" x14ac:dyDescent="0.2">
      <c r="A8" s="156">
        <v>1.3</v>
      </c>
      <c r="B8" s="160" t="s">
        <v>3</v>
      </c>
      <c r="C8" s="155">
        <f>'SNAP Counting Sheet'!O49</f>
        <v>8</v>
      </c>
      <c r="D8" s="155">
        <f>'SNAP Counting Sheet'!O50</f>
        <v>8</v>
      </c>
      <c r="E8" s="155">
        <f>'SNAP Counting Sheet'!O51</f>
        <v>0</v>
      </c>
      <c r="F8" s="155">
        <f>'SNAP Counting Sheet'!O52</f>
        <v>0</v>
      </c>
      <c r="G8" s="155"/>
    </row>
    <row r="9" spans="1:7" x14ac:dyDescent="0.2">
      <c r="A9" s="156">
        <v>1.4</v>
      </c>
      <c r="B9" s="160" t="s">
        <v>10</v>
      </c>
      <c r="C9" s="155">
        <f>'SNAP Counting Sheet'!S49</f>
        <v>80</v>
      </c>
      <c r="D9" s="155">
        <f>'SNAP Counting Sheet'!S50</f>
        <v>80</v>
      </c>
      <c r="E9" s="155">
        <f>'SNAP Counting Sheet'!S51</f>
        <v>0</v>
      </c>
      <c r="F9" s="155">
        <f>'SNAP Counting Sheet'!S52</f>
        <v>0</v>
      </c>
      <c r="G9" s="155"/>
    </row>
    <row r="10" spans="1:7" x14ac:dyDescent="0.2">
      <c r="A10" s="156">
        <v>1.5</v>
      </c>
      <c r="B10" s="160" t="s">
        <v>374</v>
      </c>
      <c r="C10" s="155">
        <f>'SNAP Counting Sheet'!W49</f>
        <v>60</v>
      </c>
      <c r="D10" s="158">
        <f>'SNAP Counting Sheet'!W50</f>
        <v>60</v>
      </c>
      <c r="E10" s="158">
        <f>'SNAP Counting Sheet'!W51</f>
        <v>0</v>
      </c>
      <c r="F10" s="158">
        <f>'SNAP Counting Sheet'!W52</f>
        <v>0</v>
      </c>
      <c r="G10" s="155"/>
    </row>
    <row r="11" spans="1:7" x14ac:dyDescent="0.2">
      <c r="C11" s="162"/>
      <c r="D11" s="162"/>
      <c r="E11" s="162"/>
      <c r="F11" s="162"/>
      <c r="G11" s="162"/>
    </row>
    <row r="12" spans="1:7" x14ac:dyDescent="0.2">
      <c r="A12" s="150" t="s">
        <v>192</v>
      </c>
      <c r="C12" s="155"/>
      <c r="D12" s="158"/>
      <c r="E12" s="158"/>
      <c r="F12" s="158"/>
      <c r="G12" s="155">
        <f>'SNAP Counting Sheet'!AN49</f>
        <v>234</v>
      </c>
    </row>
    <row r="13" spans="1:7" ht="15" customHeight="1" x14ac:dyDescent="0.2">
      <c r="A13" s="156">
        <v>2.1</v>
      </c>
      <c r="B13" s="157" t="s">
        <v>4</v>
      </c>
      <c r="C13" s="158">
        <f>'SNAP Counting Sheet'!AB49</f>
        <v>21</v>
      </c>
      <c r="D13" s="158">
        <f>'SNAP Counting Sheet'!AB50</f>
        <v>21</v>
      </c>
      <c r="E13" s="158">
        <f>'SNAP Counting Sheet'!AB51</f>
        <v>0</v>
      </c>
      <c r="F13" s="158">
        <f>'SNAP Counting Sheet'!AB52</f>
        <v>0</v>
      </c>
      <c r="G13" s="158"/>
    </row>
    <row r="14" spans="1:7" x14ac:dyDescent="0.2">
      <c r="A14" s="156">
        <v>2.2000000000000002</v>
      </c>
      <c r="B14" s="157" t="s">
        <v>173</v>
      </c>
      <c r="C14" s="158">
        <f>'SNAP Counting Sheet'!AE49</f>
        <v>3.6</v>
      </c>
      <c r="D14" s="158">
        <f>'SNAP Counting Sheet'!AE50</f>
        <v>3.6</v>
      </c>
      <c r="E14" s="158">
        <f>'SNAP Counting Sheet'!AE51</f>
        <v>0</v>
      </c>
      <c r="F14" s="158">
        <f>'SNAP Counting Sheet'!AE52</f>
        <v>0</v>
      </c>
      <c r="G14" s="155"/>
    </row>
    <row r="15" spans="1:7" x14ac:dyDescent="0.2">
      <c r="A15" s="156">
        <v>2.2999999999999998</v>
      </c>
      <c r="B15" s="157" t="s">
        <v>16</v>
      </c>
      <c r="C15" s="158">
        <f>'SNAP Counting Sheet'!AI49</f>
        <v>36</v>
      </c>
      <c r="D15" s="158">
        <f>'SNAP Counting Sheet'!AI50</f>
        <v>36</v>
      </c>
      <c r="E15" s="158">
        <f>'SNAP Counting Sheet'!AI51</f>
        <v>0</v>
      </c>
      <c r="F15" s="158">
        <f>'SNAP Counting Sheet'!AI52</f>
        <v>0</v>
      </c>
      <c r="G15" s="155"/>
    </row>
    <row r="16" spans="1:7" x14ac:dyDescent="0.2">
      <c r="A16" s="156">
        <v>2.4</v>
      </c>
      <c r="B16" s="157" t="s">
        <v>15</v>
      </c>
      <c r="C16" s="158">
        <f>'SNAP Counting Sheet'!AM49</f>
        <v>8</v>
      </c>
      <c r="D16" s="158">
        <f>'SNAP Counting Sheet'!AM50</f>
        <v>8</v>
      </c>
      <c r="E16" s="158">
        <f>'SNAP Counting Sheet'!AM51</f>
        <v>0</v>
      </c>
      <c r="F16" s="158">
        <f>'SNAP Counting Sheet'!AM52</f>
        <v>0</v>
      </c>
      <c r="G16" s="155"/>
    </row>
    <row r="17" spans="1:7" x14ac:dyDescent="0.2">
      <c r="B17" s="163"/>
      <c r="C17" s="164"/>
      <c r="D17" s="164"/>
      <c r="E17" s="164"/>
      <c r="F17" s="164"/>
      <c r="G17" s="164"/>
    </row>
    <row r="18" spans="1:7" x14ac:dyDescent="0.2">
      <c r="A18" s="150" t="s">
        <v>193</v>
      </c>
      <c r="B18" s="163"/>
      <c r="C18" s="158"/>
      <c r="D18" s="158"/>
      <c r="E18" s="158"/>
      <c r="F18" s="158"/>
      <c r="G18" s="158">
        <f>'SNAP Counting Sheet'!BB49</f>
        <v>23</v>
      </c>
    </row>
    <row r="19" spans="1:7" x14ac:dyDescent="0.2">
      <c r="A19" s="156">
        <v>3.1</v>
      </c>
      <c r="B19" s="157" t="s">
        <v>60</v>
      </c>
      <c r="C19" s="158">
        <f>'SNAP Counting Sheet'!AR49</f>
        <v>60</v>
      </c>
      <c r="D19" s="158">
        <f>'SNAP Counting Sheet'!AR50</f>
        <v>60</v>
      </c>
      <c r="E19" s="158">
        <f>'SNAP Counting Sheet'!AR51</f>
        <v>0</v>
      </c>
      <c r="F19" s="158">
        <f>'SNAP Counting Sheet'!AR52</f>
        <v>0</v>
      </c>
      <c r="G19" s="155"/>
    </row>
    <row r="20" spans="1:7" x14ac:dyDescent="0.2">
      <c r="A20" s="156">
        <v>3.2</v>
      </c>
      <c r="B20" s="157" t="s">
        <v>0</v>
      </c>
      <c r="C20" s="158">
        <f>'SNAP Counting Sheet'!AW49</f>
        <v>30</v>
      </c>
      <c r="D20" s="158">
        <f>'SNAP Counting Sheet'!AW50</f>
        <v>30</v>
      </c>
      <c r="E20" s="158">
        <f>'SNAP Counting Sheet'!AW51</f>
        <v>0</v>
      </c>
      <c r="F20" s="158">
        <f>'SNAP Counting Sheet'!AW52</f>
        <v>0</v>
      </c>
      <c r="G20" s="155"/>
    </row>
    <row r="21" spans="1:7" x14ac:dyDescent="0.2">
      <c r="A21" s="156">
        <v>3.3</v>
      </c>
      <c r="B21" s="160" t="s">
        <v>264</v>
      </c>
      <c r="C21" s="158">
        <f>'SNAP Counting Sheet'!BA49</f>
        <v>6</v>
      </c>
      <c r="D21" s="158">
        <f>'SNAP Counting Sheet'!BA50</f>
        <v>6</v>
      </c>
      <c r="E21" s="158">
        <f>'SNAP Counting Sheet'!BA51</f>
        <v>0</v>
      </c>
      <c r="F21" s="158">
        <f>'SNAP Counting Sheet'!BA52</f>
        <v>0</v>
      </c>
      <c r="G21" s="155"/>
    </row>
    <row r="22" spans="1:7" x14ac:dyDescent="0.2">
      <c r="B22" s="163"/>
      <c r="C22" s="165"/>
      <c r="D22" s="165"/>
      <c r="E22" s="165"/>
      <c r="F22" s="165"/>
      <c r="G22" s="165"/>
    </row>
    <row r="23" spans="1:7" x14ac:dyDescent="0.2">
      <c r="A23" s="150" t="s">
        <v>194</v>
      </c>
      <c r="B23" s="163"/>
      <c r="C23" s="158"/>
      <c r="D23" s="158"/>
      <c r="E23" s="158"/>
      <c r="F23" s="158"/>
      <c r="G23" s="155">
        <f>'SNAP Counting Sheet'!BK49</f>
        <v>78</v>
      </c>
    </row>
    <row r="24" spans="1:7" x14ac:dyDescent="0.2">
      <c r="A24" s="156">
        <v>4.2</v>
      </c>
      <c r="B24" s="160" t="s">
        <v>188</v>
      </c>
      <c r="C24" s="155">
        <f>'SNAP Counting Sheet'!BE49</f>
        <v>31</v>
      </c>
      <c r="D24" s="158">
        <f>'SNAP Counting Sheet'!BE50</f>
        <v>31</v>
      </c>
      <c r="E24" s="158">
        <f>'SNAP Counting Sheet'!BE51</f>
        <v>0</v>
      </c>
      <c r="F24" s="158">
        <f>'SNAP Counting Sheet'!BE52</f>
        <v>0</v>
      </c>
      <c r="G24" s="155"/>
    </row>
    <row r="25" spans="1:7" x14ac:dyDescent="0.2">
      <c r="A25" s="156">
        <v>4.3</v>
      </c>
      <c r="B25" s="160" t="str">
        <f>'SNAP Counting Sheet'!BF4</f>
        <v>4.2  Multiple Input / Output Interfaces</v>
      </c>
      <c r="C25" s="155">
        <f>'SNAP Counting Sheet'!BJ49</f>
        <v>20</v>
      </c>
      <c r="D25" s="158">
        <f>'SNAP Counting Sheet'!BJ50</f>
        <v>20</v>
      </c>
      <c r="E25" s="158">
        <f>'SNAP Counting Sheet'!BJ51</f>
        <v>0</v>
      </c>
      <c r="F25" s="158">
        <f>'SNAP Counting Sheet'!BJ52</f>
        <v>0</v>
      </c>
      <c r="G25" s="155"/>
    </row>
    <row r="26" spans="1:7" x14ac:dyDescent="0.2">
      <c r="C26" s="162"/>
      <c r="D26" s="162"/>
      <c r="E26" s="162"/>
      <c r="F26" s="162"/>
      <c r="G26" s="162"/>
    </row>
    <row r="27" spans="1:7" x14ac:dyDescent="0.2">
      <c r="B27" s="147" t="s">
        <v>183</v>
      </c>
      <c r="C27" s="155">
        <f>SUM(C4:C25)</f>
        <v>387.6</v>
      </c>
      <c r="D27" s="155">
        <f>SUM(D4:D25)</f>
        <v>387.6</v>
      </c>
      <c r="E27" s="155">
        <f>SUM(E4:E25)</f>
        <v>0</v>
      </c>
      <c r="F27" s="155">
        <f>SUM(F4:F25)</f>
        <v>0</v>
      </c>
      <c r="G27" s="155"/>
    </row>
    <row r="28" spans="1:7" x14ac:dyDescent="0.2">
      <c r="B28" s="147" t="s">
        <v>196</v>
      </c>
      <c r="C28" s="155"/>
      <c r="D28" s="158"/>
      <c r="E28" s="158"/>
      <c r="F28" s="158"/>
      <c r="G28" s="155">
        <f>SUM(G5:G25)</f>
        <v>335</v>
      </c>
    </row>
    <row r="33" spans="1:7" x14ac:dyDescent="0.2">
      <c r="A33" s="166"/>
      <c r="B33" s="166"/>
      <c r="C33" s="149"/>
      <c r="D33" s="149"/>
      <c r="E33" s="149"/>
      <c r="F33" s="149"/>
      <c r="G33" s="149"/>
    </row>
    <row r="34" spans="1:7" x14ac:dyDescent="0.2">
      <c r="A34" s="166"/>
      <c r="B34" s="166"/>
      <c r="C34" s="149"/>
      <c r="D34" s="149"/>
      <c r="E34" s="149"/>
      <c r="F34" s="149"/>
      <c r="G34" s="149"/>
    </row>
    <row r="35" spans="1:7" x14ac:dyDescent="0.2">
      <c r="A35" s="166"/>
      <c r="B35" s="166"/>
      <c r="C35" s="149"/>
      <c r="D35" s="149"/>
      <c r="E35" s="149"/>
      <c r="F35" s="149"/>
      <c r="G35" s="149"/>
    </row>
    <row r="36" spans="1:7" x14ac:dyDescent="0.2">
      <c r="A36" s="166"/>
      <c r="B36" s="166"/>
      <c r="C36" s="149"/>
      <c r="D36" s="149"/>
      <c r="E36" s="149"/>
      <c r="F36" s="149"/>
      <c r="G36" s="149"/>
    </row>
    <row r="37" spans="1:7" x14ac:dyDescent="0.2">
      <c r="A37" s="166"/>
      <c r="B37" s="166"/>
      <c r="C37" s="149"/>
      <c r="D37" s="149"/>
      <c r="E37" s="149"/>
      <c r="F37" s="149"/>
      <c r="G37" s="149"/>
    </row>
    <row r="38" spans="1:7" x14ac:dyDescent="0.2">
      <c r="A38" s="166"/>
      <c r="B38" s="166"/>
      <c r="C38" s="149"/>
      <c r="D38" s="149"/>
      <c r="E38" s="149"/>
      <c r="F38" s="149"/>
      <c r="G38" s="149"/>
    </row>
    <row r="39" spans="1:7" x14ac:dyDescent="0.2">
      <c r="A39" s="166"/>
      <c r="B39" s="166"/>
      <c r="C39" s="149"/>
      <c r="D39" s="149"/>
      <c r="E39" s="149"/>
      <c r="F39" s="149"/>
      <c r="G39" s="149"/>
    </row>
    <row r="40" spans="1:7" x14ac:dyDescent="0.2">
      <c r="A40" s="166"/>
      <c r="B40" s="166"/>
      <c r="C40" s="149"/>
      <c r="D40" s="149"/>
      <c r="E40" s="149"/>
      <c r="F40" s="149"/>
      <c r="G40" s="149"/>
    </row>
  </sheetData>
  <sheetProtection password="AB5E" sheet="1" objects="1" scenarios="1"/>
  <mergeCells count="1">
    <mergeCell ref="C3:F3"/>
  </mergeCells>
  <dataValidations count="5">
    <dataValidation allowBlank="1" showInputMessage="1" showErrorMessage="1" prompt="Operations that are taken either to allow only certified (predefined) data or to prevent the acceptance of uncertified data" sqref="B6" xr:uid="{00000000-0002-0000-0300-000000000000}"/>
    <dataValidation allowBlank="1" showInputMessage="1" showErrorMessage="1" prompt="Logical decisions, Boolean operations and mathematical operations applied on the process in order to meet non-functional requirements" sqref="B7" xr:uid="{00000000-0002-0000-0300-000001000000}"/>
    <dataValidation allowBlank="1" showInputMessage="1" showErrorMessage="1" prompt="Operations applied in transactions, which add, change or delete elements affecting structure, format, or administrative information, and  not directly affecting the functionality that is seen by the user" sqref="B8" xr:uid="{00000000-0002-0000-0300-000002000000}"/>
    <dataValidation allowBlank="1" showInputMessage="1" showErrorMessage="1" prompt="Data Movements within the application boundary" sqref="B9" xr:uid="{00000000-0002-0000-0300-000003000000}"/>
    <dataValidation allowBlank="1" showInputMessage="1" showErrorMessage="1" prompt="Functionality that is provided by adding, changing or deleting reference data information from the database  with no change of the code or the database structure" sqref="B10" xr:uid="{00000000-0002-0000-0300-000004000000}"/>
  </dataValidations>
  <pageMargins left="0.7" right="0.7" top="0.75" bottom="0.75" header="0.3" footer="0.3"/>
  <pageSetup orientation="portrait" r:id="rId1"/>
  <headerFooter>
    <oddFooter>&amp;LLevel 1 – Confidential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sheetPr>
  <dimension ref="A1:O100"/>
  <sheetViews>
    <sheetView workbookViewId="0">
      <selection activeCell="C4" sqref="C4"/>
    </sheetView>
  </sheetViews>
  <sheetFormatPr defaultRowHeight="15" x14ac:dyDescent="0.25"/>
  <cols>
    <col min="1" max="1" width="2.85546875" customWidth="1"/>
    <col min="2" max="2" width="15.7109375" customWidth="1"/>
    <col min="3" max="3" width="9" bestFit="1" customWidth="1"/>
    <col min="4" max="4" width="3" customWidth="1"/>
    <col min="5" max="5" width="23.5703125" customWidth="1"/>
    <col min="6" max="6" width="2.42578125" customWidth="1"/>
    <col min="7" max="7" width="17.85546875" customWidth="1"/>
    <col min="8" max="8" width="2.140625" customWidth="1"/>
    <col min="9" max="9" width="25" customWidth="1"/>
    <col min="10" max="10" width="2.85546875" customWidth="1"/>
    <col min="11" max="11" width="26.5703125" customWidth="1"/>
    <col min="12" max="12" width="3.42578125" customWidth="1"/>
    <col min="13" max="13" width="20" customWidth="1"/>
  </cols>
  <sheetData>
    <row r="1" spans="1:13" x14ac:dyDescent="0.25">
      <c r="A1" s="6"/>
      <c r="B1" s="6"/>
      <c r="C1" s="6"/>
      <c r="D1" s="12"/>
      <c r="E1" s="12"/>
      <c r="F1" s="12"/>
      <c r="G1" s="12"/>
      <c r="H1" s="12"/>
      <c r="I1" s="12"/>
      <c r="J1" s="12"/>
      <c r="K1" s="12"/>
      <c r="L1" s="12"/>
      <c r="M1" s="5"/>
    </row>
    <row r="2" spans="1:13" x14ac:dyDescent="0.25">
      <c r="A2" s="7"/>
      <c r="B2" s="4"/>
      <c r="C2" s="40"/>
      <c r="D2" s="4"/>
      <c r="E2" s="40"/>
      <c r="F2" s="4"/>
      <c r="G2" s="10"/>
      <c r="H2" s="4"/>
      <c r="I2" s="10"/>
      <c r="J2" s="4"/>
      <c r="K2" s="10"/>
      <c r="L2" s="4"/>
      <c r="M2" s="13"/>
    </row>
    <row r="3" spans="1:13" x14ac:dyDescent="0.25">
      <c r="A3" s="7"/>
      <c r="C3" s="41" t="s">
        <v>18</v>
      </c>
      <c r="D3" s="42"/>
      <c r="E3" s="43" t="s">
        <v>11</v>
      </c>
      <c r="F3" s="9"/>
      <c r="G3" s="1" t="s">
        <v>19</v>
      </c>
      <c r="H3" s="9"/>
      <c r="I3" s="44" t="s">
        <v>21</v>
      </c>
      <c r="J3" s="9"/>
      <c r="K3" s="1" t="s">
        <v>22</v>
      </c>
      <c r="L3" s="7"/>
      <c r="M3" s="9"/>
    </row>
    <row r="4" spans="1:13" x14ac:dyDescent="0.25">
      <c r="A4" s="9"/>
      <c r="B4" s="3" t="s">
        <v>5</v>
      </c>
      <c r="C4" s="3">
        <v>1</v>
      </c>
      <c r="D4" s="9"/>
      <c r="E4" s="3" t="s">
        <v>12</v>
      </c>
      <c r="F4" s="5"/>
      <c r="G4" s="15" t="s">
        <v>372</v>
      </c>
      <c r="H4" s="9"/>
      <c r="I4" s="3" t="s">
        <v>257</v>
      </c>
      <c r="J4" s="9"/>
      <c r="K4" s="3" t="s">
        <v>23</v>
      </c>
      <c r="L4" s="7"/>
      <c r="M4" s="9"/>
    </row>
    <row r="5" spans="1:13" x14ac:dyDescent="0.25">
      <c r="A5" s="9"/>
      <c r="B5" s="3" t="s">
        <v>6</v>
      </c>
      <c r="C5" s="3">
        <f>C4*9</f>
        <v>9</v>
      </c>
      <c r="D5" s="9"/>
      <c r="E5" s="3" t="s">
        <v>13</v>
      </c>
      <c r="F5" s="5"/>
      <c r="G5" s="15" t="s">
        <v>373</v>
      </c>
      <c r="H5" s="9"/>
      <c r="I5" s="3" t="s">
        <v>258</v>
      </c>
      <c r="J5" s="9"/>
      <c r="K5" s="3" t="s">
        <v>24</v>
      </c>
      <c r="L5" s="7"/>
      <c r="M5" s="9"/>
    </row>
    <row r="6" spans="1:13" x14ac:dyDescent="0.25">
      <c r="A6" s="9"/>
      <c r="B6" s="3" t="s">
        <v>7</v>
      </c>
      <c r="C6" s="3">
        <f>C5*5</f>
        <v>45</v>
      </c>
      <c r="D6" s="9"/>
      <c r="E6" s="3" t="s">
        <v>14</v>
      </c>
      <c r="F6" s="5"/>
      <c r="G6" s="12"/>
      <c r="H6" s="9"/>
      <c r="I6" s="12"/>
      <c r="J6" s="9"/>
      <c r="K6" s="3" t="s">
        <v>25</v>
      </c>
      <c r="L6" s="7"/>
      <c r="M6" s="9"/>
    </row>
    <row r="7" spans="1:13" x14ac:dyDescent="0.25">
      <c r="A7" s="9"/>
      <c r="B7" s="3" t="s">
        <v>8</v>
      </c>
      <c r="C7" s="3">
        <v>180</v>
      </c>
      <c r="D7" s="9"/>
      <c r="E7" s="3" t="s">
        <v>17</v>
      </c>
      <c r="F7" s="5"/>
      <c r="G7" s="12"/>
      <c r="H7" s="7"/>
      <c r="I7" s="4"/>
      <c r="J7" s="9"/>
      <c r="K7" s="3" t="s">
        <v>26</v>
      </c>
      <c r="L7" s="7"/>
      <c r="M7" s="9"/>
    </row>
    <row r="8" spans="1:13" x14ac:dyDescent="0.25">
      <c r="A8" s="7"/>
      <c r="B8" s="12"/>
      <c r="C8" s="6"/>
      <c r="D8" s="7"/>
      <c r="E8" s="12"/>
      <c r="F8" s="11"/>
      <c r="G8" s="12"/>
      <c r="H8" s="7"/>
      <c r="I8" s="4"/>
      <c r="J8" s="4"/>
      <c r="K8" s="29"/>
      <c r="L8" s="4"/>
      <c r="M8" s="9"/>
    </row>
    <row r="9" spans="1:13" x14ac:dyDescent="0.25">
      <c r="A9" s="7"/>
      <c r="B9" s="4"/>
      <c r="C9" s="7"/>
      <c r="D9" s="4"/>
      <c r="E9" s="4"/>
      <c r="F9" s="4"/>
      <c r="G9" s="12"/>
      <c r="H9" s="6"/>
      <c r="I9" s="10"/>
      <c r="J9" s="4"/>
      <c r="K9" s="30"/>
      <c r="L9" s="4"/>
      <c r="M9" s="9"/>
    </row>
    <row r="10" spans="1:13" x14ac:dyDescent="0.25">
      <c r="A10" s="7"/>
      <c r="B10" s="10"/>
      <c r="C10" s="7"/>
      <c r="D10" s="4"/>
      <c r="E10" s="10"/>
      <c r="F10" s="12"/>
      <c r="G10" s="4"/>
      <c r="H10" s="4"/>
      <c r="I10" s="44" t="s">
        <v>2</v>
      </c>
      <c r="J10" s="12"/>
      <c r="K10" s="45"/>
      <c r="L10" s="4"/>
      <c r="M10" s="9"/>
    </row>
    <row r="11" spans="1:13" x14ac:dyDescent="0.25">
      <c r="A11" s="9"/>
      <c r="B11" s="1" t="s">
        <v>27</v>
      </c>
      <c r="C11" s="7"/>
      <c r="D11" s="9"/>
      <c r="E11" s="1" t="s">
        <v>33</v>
      </c>
      <c r="F11" s="7"/>
      <c r="G11" s="4"/>
      <c r="H11" s="13"/>
      <c r="I11" s="15" t="s">
        <v>53</v>
      </c>
      <c r="J11" s="42"/>
      <c r="K11" s="46" t="s">
        <v>149</v>
      </c>
      <c r="L11" s="7"/>
      <c r="M11" s="9"/>
    </row>
    <row r="12" spans="1:13" x14ac:dyDescent="0.25">
      <c r="A12" s="9"/>
      <c r="B12" s="15" t="s">
        <v>28</v>
      </c>
      <c r="C12" s="7"/>
      <c r="D12" s="9"/>
      <c r="E12" s="15" t="s">
        <v>85</v>
      </c>
      <c r="F12" s="16"/>
      <c r="G12" s="16"/>
      <c r="H12" s="13"/>
      <c r="I12" s="15" t="s">
        <v>54</v>
      </c>
      <c r="J12" s="9"/>
      <c r="K12" s="15" t="s">
        <v>98</v>
      </c>
      <c r="L12" s="9"/>
      <c r="M12" s="9"/>
    </row>
    <row r="13" spans="1:13" ht="15" customHeight="1" x14ac:dyDescent="0.25">
      <c r="A13" s="9"/>
      <c r="B13" s="15" t="s">
        <v>29</v>
      </c>
      <c r="C13" s="7"/>
      <c r="D13" s="9"/>
      <c r="E13" s="15" t="s">
        <v>34</v>
      </c>
      <c r="F13" s="31"/>
      <c r="G13" s="31"/>
      <c r="H13" s="13"/>
      <c r="I13" s="15" t="s">
        <v>55</v>
      </c>
      <c r="J13" s="9"/>
      <c r="K13" s="15" t="s">
        <v>94</v>
      </c>
      <c r="L13" s="9"/>
      <c r="M13" s="9"/>
    </row>
    <row r="14" spans="1:13" x14ac:dyDescent="0.25">
      <c r="A14" s="9"/>
      <c r="B14" s="15" t="s">
        <v>63</v>
      </c>
      <c r="C14" s="7"/>
      <c r="D14" s="9"/>
      <c r="E14" s="15" t="s">
        <v>86</v>
      </c>
      <c r="F14" s="6"/>
      <c r="G14" s="6"/>
      <c r="H14" s="13"/>
      <c r="I14" s="15" t="s">
        <v>56</v>
      </c>
      <c r="J14" s="9"/>
      <c r="K14" s="15" t="s">
        <v>95</v>
      </c>
      <c r="L14" s="9"/>
      <c r="M14" s="9"/>
    </row>
    <row r="15" spans="1:13" x14ac:dyDescent="0.25">
      <c r="A15" s="9"/>
      <c r="B15" s="15" t="s">
        <v>30</v>
      </c>
      <c r="C15" s="7"/>
      <c r="D15" s="9"/>
      <c r="E15" s="15" t="s">
        <v>89</v>
      </c>
      <c r="F15" s="7"/>
      <c r="G15" s="7"/>
      <c r="H15" s="9"/>
      <c r="I15" s="15" t="s">
        <v>57</v>
      </c>
      <c r="J15" s="9"/>
      <c r="K15" s="15" t="s">
        <v>96</v>
      </c>
      <c r="L15" s="9"/>
      <c r="M15" s="9"/>
    </row>
    <row r="16" spans="1:13" x14ac:dyDescent="0.25">
      <c r="A16" s="9"/>
      <c r="B16" s="15" t="s">
        <v>20</v>
      </c>
      <c r="C16" s="7"/>
      <c r="D16" s="13"/>
      <c r="E16" s="15" t="s">
        <v>32</v>
      </c>
      <c r="F16" s="7"/>
      <c r="G16" s="7"/>
      <c r="H16" s="9"/>
      <c r="I16" s="15" t="s">
        <v>20</v>
      </c>
      <c r="J16" s="9"/>
      <c r="K16" s="15" t="s">
        <v>97</v>
      </c>
      <c r="L16" s="7"/>
      <c r="M16" s="9"/>
    </row>
    <row r="17" spans="1:15" x14ac:dyDescent="0.25">
      <c r="A17" s="16"/>
      <c r="B17" s="10"/>
      <c r="C17" s="8"/>
      <c r="D17" s="11"/>
      <c r="E17" s="15" t="s">
        <v>87</v>
      </c>
      <c r="F17" s="7"/>
      <c r="G17" s="8"/>
      <c r="H17" s="13"/>
      <c r="I17" s="12"/>
      <c r="J17" s="7"/>
      <c r="K17" s="12"/>
      <c r="L17" s="4"/>
      <c r="M17" s="9"/>
    </row>
    <row r="18" spans="1:15" x14ac:dyDescent="0.25">
      <c r="A18" s="4"/>
      <c r="B18" s="4"/>
      <c r="C18" s="7"/>
      <c r="D18" s="11"/>
      <c r="E18" s="15" t="s">
        <v>142</v>
      </c>
      <c r="F18" s="9"/>
      <c r="G18" s="44" t="s">
        <v>233</v>
      </c>
      <c r="H18" s="7"/>
      <c r="I18" s="7"/>
      <c r="J18" s="4"/>
      <c r="K18" s="4"/>
      <c r="L18" s="4"/>
      <c r="M18" s="9"/>
    </row>
    <row r="19" spans="1:15" ht="15.75" thickBot="1" x14ac:dyDescent="0.3">
      <c r="A19" s="7"/>
      <c r="B19" s="10"/>
      <c r="C19" s="4"/>
      <c r="D19" s="11"/>
      <c r="E19" s="15" t="s">
        <v>88</v>
      </c>
      <c r="F19" s="9"/>
      <c r="G19" s="1" t="s">
        <v>223</v>
      </c>
      <c r="H19" s="9"/>
      <c r="J19" s="7"/>
      <c r="K19" s="46" t="s">
        <v>160</v>
      </c>
      <c r="L19" s="4"/>
      <c r="M19" s="9"/>
    </row>
    <row r="20" spans="1:15" ht="15.75" thickTop="1" x14ac:dyDescent="0.25">
      <c r="A20" s="9"/>
      <c r="B20" s="1" t="s">
        <v>104</v>
      </c>
      <c r="C20" s="7"/>
      <c r="D20" s="11"/>
      <c r="E20" s="15" t="s">
        <v>75</v>
      </c>
      <c r="F20" s="9"/>
      <c r="G20" s="1" t="s">
        <v>224</v>
      </c>
      <c r="H20" s="9"/>
      <c r="J20" s="7"/>
      <c r="K20" s="47" t="s">
        <v>151</v>
      </c>
      <c r="L20" s="48">
        <v>1</v>
      </c>
      <c r="M20" s="15" t="s">
        <v>152</v>
      </c>
    </row>
    <row r="21" spans="1:15" x14ac:dyDescent="0.25">
      <c r="A21" s="9"/>
      <c r="B21" s="15" t="s">
        <v>100</v>
      </c>
      <c r="C21" s="7"/>
      <c r="D21" s="11"/>
      <c r="E21" s="15" t="s">
        <v>77</v>
      </c>
      <c r="F21" s="9"/>
      <c r="G21" s="1" t="s">
        <v>225</v>
      </c>
      <c r="H21" s="9"/>
      <c r="J21" s="7"/>
      <c r="K21" s="49" t="s">
        <v>153</v>
      </c>
      <c r="L21" s="50">
        <v>2</v>
      </c>
      <c r="M21" s="15" t="s">
        <v>161</v>
      </c>
      <c r="O21" s="1"/>
    </row>
    <row r="22" spans="1:15" x14ac:dyDescent="0.25">
      <c r="A22" s="9"/>
      <c r="B22" s="15" t="s">
        <v>101</v>
      </c>
      <c r="C22" s="7"/>
      <c r="D22" s="9"/>
      <c r="E22" s="15" t="s">
        <v>35</v>
      </c>
      <c r="F22" s="9"/>
      <c r="G22" s="1" t="s">
        <v>226</v>
      </c>
      <c r="H22" s="9"/>
      <c r="I22" s="4"/>
      <c r="J22" s="7"/>
      <c r="K22" s="49" t="s">
        <v>154</v>
      </c>
      <c r="L22" s="50">
        <v>3</v>
      </c>
      <c r="M22" s="15" t="s">
        <v>155</v>
      </c>
      <c r="O22" s="1"/>
    </row>
    <row r="23" spans="1:15" x14ac:dyDescent="0.25">
      <c r="A23" s="9"/>
      <c r="B23" s="15" t="s">
        <v>102</v>
      </c>
      <c r="C23" s="7"/>
      <c r="D23" s="9"/>
      <c r="E23" s="15" t="s">
        <v>76</v>
      </c>
      <c r="F23" s="9"/>
      <c r="G23" s="1" t="s">
        <v>227</v>
      </c>
      <c r="H23" s="9"/>
      <c r="I23" s="4"/>
      <c r="J23" s="7"/>
      <c r="K23" s="49" t="s">
        <v>156</v>
      </c>
      <c r="L23" s="50">
        <v>4</v>
      </c>
      <c r="M23" s="15" t="s">
        <v>157</v>
      </c>
      <c r="O23" s="1"/>
    </row>
    <row r="24" spans="1:15" ht="15.75" thickBot="1" x14ac:dyDescent="0.3">
      <c r="A24" s="9"/>
      <c r="B24" s="15" t="s">
        <v>103</v>
      </c>
      <c r="C24" s="7"/>
      <c r="D24" s="9"/>
      <c r="E24" s="15" t="s">
        <v>144</v>
      </c>
      <c r="F24" s="9"/>
      <c r="G24" s="1" t="s">
        <v>228</v>
      </c>
      <c r="H24" s="7"/>
      <c r="I24" s="10"/>
      <c r="J24" s="7"/>
      <c r="K24" s="51" t="s">
        <v>158</v>
      </c>
      <c r="L24" s="52">
        <v>5</v>
      </c>
      <c r="M24" s="15" t="s">
        <v>159</v>
      </c>
      <c r="O24" s="1"/>
    </row>
    <row r="25" spans="1:15" ht="15.75" thickTop="1" x14ac:dyDescent="0.25">
      <c r="A25" s="7"/>
      <c r="B25" s="12"/>
      <c r="C25" s="6"/>
      <c r="D25" s="5"/>
      <c r="E25" s="15" t="s">
        <v>36</v>
      </c>
      <c r="F25" s="9"/>
      <c r="G25" s="1" t="s">
        <v>229</v>
      </c>
      <c r="I25" s="4"/>
      <c r="J25" s="4"/>
      <c r="K25" s="10"/>
      <c r="L25" s="17"/>
    </row>
    <row r="26" spans="1:15" x14ac:dyDescent="0.25">
      <c r="A26" s="7"/>
      <c r="B26" s="10"/>
      <c r="C26" s="4"/>
      <c r="D26" s="9"/>
      <c r="E26" s="15" t="s">
        <v>37</v>
      </c>
      <c r="F26" s="9"/>
      <c r="G26" s="1" t="s">
        <v>230</v>
      </c>
      <c r="H26" s="13"/>
      <c r="I26" s="4"/>
      <c r="J26" s="11"/>
      <c r="K26" s="32" t="s">
        <v>62</v>
      </c>
      <c r="L26" s="25" t="s">
        <v>62</v>
      </c>
      <c r="M26" s="25" t="s">
        <v>62</v>
      </c>
      <c r="N26" s="25" t="s">
        <v>62</v>
      </c>
      <c r="O26" s="25" t="s">
        <v>62</v>
      </c>
    </row>
    <row r="27" spans="1:15" x14ac:dyDescent="0.25">
      <c r="A27" s="9"/>
      <c r="B27" s="1" t="s">
        <v>135</v>
      </c>
      <c r="C27" s="7"/>
      <c r="D27" s="9"/>
      <c r="E27" s="15" t="s">
        <v>38</v>
      </c>
      <c r="F27" s="9"/>
      <c r="G27" s="1" t="s">
        <v>231</v>
      </c>
      <c r="H27" s="7"/>
      <c r="I27" s="4"/>
      <c r="J27" s="9"/>
      <c r="K27" s="113" t="s">
        <v>244</v>
      </c>
      <c r="L27" s="25" t="s">
        <v>62</v>
      </c>
      <c r="M27" s="25" t="s">
        <v>62</v>
      </c>
      <c r="N27" s="25" t="s">
        <v>62</v>
      </c>
      <c r="O27" s="25" t="s">
        <v>62</v>
      </c>
    </row>
    <row r="28" spans="1:15" x14ac:dyDescent="0.25">
      <c r="A28" s="9"/>
      <c r="B28" s="15" t="s">
        <v>129</v>
      </c>
      <c r="C28" s="7"/>
      <c r="D28" s="9"/>
      <c r="E28" s="15" t="s">
        <v>148</v>
      </c>
      <c r="F28" s="9"/>
      <c r="G28" s="1" t="s">
        <v>232</v>
      </c>
      <c r="H28" s="9"/>
      <c r="I28" s="4"/>
      <c r="J28" s="9"/>
      <c r="K28" s="113" t="s">
        <v>245</v>
      </c>
      <c r="L28" s="25" t="s">
        <v>62</v>
      </c>
      <c r="M28" s="25" t="s">
        <v>62</v>
      </c>
      <c r="N28" s="25" t="s">
        <v>62</v>
      </c>
      <c r="O28" s="25" t="s">
        <v>62</v>
      </c>
    </row>
    <row r="29" spans="1:15" x14ac:dyDescent="0.25">
      <c r="A29" s="9"/>
      <c r="B29" s="15" t="s">
        <v>130</v>
      </c>
      <c r="C29" s="7"/>
      <c r="D29" s="9"/>
      <c r="E29" s="15" t="s">
        <v>78</v>
      </c>
      <c r="F29" s="9"/>
      <c r="G29" s="28"/>
      <c r="H29" s="9"/>
      <c r="I29" s="4"/>
      <c r="J29" s="9"/>
      <c r="K29" s="15" t="s">
        <v>246</v>
      </c>
      <c r="L29" s="25" t="s">
        <v>62</v>
      </c>
      <c r="M29" s="25" t="s">
        <v>62</v>
      </c>
      <c r="N29" s="25" t="s">
        <v>62</v>
      </c>
      <c r="O29" s="25" t="s">
        <v>62</v>
      </c>
    </row>
    <row r="30" spans="1:15" x14ac:dyDescent="0.25">
      <c r="A30" s="9"/>
      <c r="B30" s="15" t="s">
        <v>131</v>
      </c>
      <c r="C30" s="7"/>
      <c r="D30" s="9"/>
      <c r="E30" s="15" t="s">
        <v>39</v>
      </c>
      <c r="F30" s="9"/>
      <c r="G30" s="28"/>
      <c r="H30" s="7"/>
      <c r="I30" s="4"/>
      <c r="J30" s="9"/>
      <c r="K30" s="15" t="s">
        <v>247</v>
      </c>
      <c r="L30" s="25" t="s">
        <v>62</v>
      </c>
      <c r="M30" s="25" t="s">
        <v>62</v>
      </c>
      <c r="N30" s="25" t="s">
        <v>62</v>
      </c>
      <c r="O30" s="25" t="s">
        <v>62</v>
      </c>
    </row>
    <row r="31" spans="1:15" x14ac:dyDescent="0.25">
      <c r="A31" s="9"/>
      <c r="B31" s="15" t="s">
        <v>132</v>
      </c>
      <c r="C31" s="7"/>
      <c r="D31" s="9"/>
      <c r="E31" s="15" t="s">
        <v>40</v>
      </c>
      <c r="F31" s="9"/>
      <c r="G31" s="15" t="s">
        <v>143</v>
      </c>
      <c r="H31" s="9"/>
      <c r="I31" s="12"/>
      <c r="J31" s="9"/>
      <c r="K31" s="113" t="s">
        <v>253</v>
      </c>
      <c r="L31" s="25" t="s">
        <v>62</v>
      </c>
      <c r="M31" s="25" t="s">
        <v>62</v>
      </c>
      <c r="N31" s="25" t="s">
        <v>62</v>
      </c>
      <c r="O31" s="25" t="s">
        <v>62</v>
      </c>
    </row>
    <row r="32" spans="1:15" x14ac:dyDescent="0.25">
      <c r="A32" s="9"/>
      <c r="B32" s="15" t="s">
        <v>133</v>
      </c>
      <c r="C32" s="7"/>
      <c r="D32" s="9"/>
      <c r="E32" s="15" t="s">
        <v>79</v>
      </c>
      <c r="F32" s="9"/>
      <c r="G32" s="15" t="s">
        <v>105</v>
      </c>
      <c r="H32" s="7"/>
      <c r="I32" s="7"/>
      <c r="J32" s="13"/>
      <c r="K32" s="15" t="s">
        <v>250</v>
      </c>
      <c r="L32" s="25" t="s">
        <v>62</v>
      </c>
      <c r="M32" s="25" t="s">
        <v>62</v>
      </c>
      <c r="N32" s="25" t="s">
        <v>62</v>
      </c>
      <c r="O32" s="25" t="s">
        <v>62</v>
      </c>
    </row>
    <row r="33" spans="1:15" x14ac:dyDescent="0.25">
      <c r="A33" s="9"/>
      <c r="B33" s="15" t="s">
        <v>134</v>
      </c>
      <c r="C33" s="7"/>
      <c r="D33" s="9"/>
      <c r="E33" s="15" t="s">
        <v>41</v>
      </c>
      <c r="F33" s="9"/>
      <c r="G33" s="15" t="s">
        <v>106</v>
      </c>
      <c r="H33" s="9"/>
      <c r="I33" s="7"/>
      <c r="J33" s="5"/>
      <c r="K33" s="15" t="s">
        <v>251</v>
      </c>
      <c r="L33" s="113"/>
      <c r="M33" s="25" t="s">
        <v>62</v>
      </c>
      <c r="N33" s="25" t="s">
        <v>62</v>
      </c>
      <c r="O33" s="25" t="s">
        <v>62</v>
      </c>
    </row>
    <row r="34" spans="1:15" x14ac:dyDescent="0.25">
      <c r="A34" s="7"/>
      <c r="B34" s="10"/>
      <c r="C34" s="4"/>
      <c r="D34" s="13"/>
      <c r="E34" s="15" t="s">
        <v>42</v>
      </c>
      <c r="F34" s="9"/>
      <c r="G34" s="15" t="s">
        <v>107</v>
      </c>
      <c r="H34" s="5"/>
      <c r="I34" s="7"/>
      <c r="J34" s="9"/>
      <c r="K34" s="15" t="s">
        <v>252</v>
      </c>
      <c r="L34" s="113"/>
      <c r="M34" s="25" t="s">
        <v>62</v>
      </c>
      <c r="N34" s="25" t="s">
        <v>62</v>
      </c>
      <c r="O34" s="25" t="s">
        <v>62</v>
      </c>
    </row>
    <row r="35" spans="1:15" x14ac:dyDescent="0.25">
      <c r="A35" s="9"/>
      <c r="B35" s="1" t="s">
        <v>140</v>
      </c>
      <c r="C35" s="7"/>
      <c r="D35" s="9"/>
      <c r="E35" s="15" t="s">
        <v>43</v>
      </c>
      <c r="F35" s="9"/>
      <c r="G35" s="15" t="s">
        <v>108</v>
      </c>
      <c r="H35" s="9"/>
      <c r="I35" s="7"/>
      <c r="J35" s="9"/>
      <c r="K35" s="113"/>
      <c r="L35" s="113"/>
      <c r="M35" s="25" t="s">
        <v>62</v>
      </c>
      <c r="N35" s="25" t="s">
        <v>62</v>
      </c>
      <c r="O35" s="25" t="s">
        <v>62</v>
      </c>
    </row>
    <row r="36" spans="1:15" x14ac:dyDescent="0.25">
      <c r="A36" s="9"/>
      <c r="B36" s="15" t="s">
        <v>136</v>
      </c>
      <c r="C36" s="9"/>
      <c r="D36" s="9"/>
      <c r="E36" s="15" t="s">
        <v>44</v>
      </c>
      <c r="F36" s="9"/>
      <c r="G36" s="15" t="s">
        <v>109</v>
      </c>
      <c r="H36" s="9"/>
      <c r="I36" s="7"/>
      <c r="J36" s="9"/>
      <c r="K36" s="113"/>
      <c r="L36" s="113"/>
      <c r="M36" s="25" t="s">
        <v>62</v>
      </c>
      <c r="N36" s="25" t="s">
        <v>62</v>
      </c>
      <c r="O36" s="25" t="s">
        <v>62</v>
      </c>
    </row>
    <row r="37" spans="1:15" x14ac:dyDescent="0.25">
      <c r="A37" s="9"/>
      <c r="B37" s="15" t="s">
        <v>137</v>
      </c>
      <c r="C37" s="9"/>
      <c r="D37" s="9"/>
      <c r="E37" s="15" t="s">
        <v>80</v>
      </c>
      <c r="F37" s="9"/>
      <c r="G37" s="15" t="s">
        <v>110</v>
      </c>
      <c r="H37" s="9"/>
      <c r="I37" s="7"/>
      <c r="J37" s="9"/>
      <c r="K37" s="15"/>
      <c r="L37" s="113"/>
      <c r="M37" s="25" t="s">
        <v>62</v>
      </c>
      <c r="N37" s="25" t="s">
        <v>62</v>
      </c>
      <c r="O37" s="25" t="s">
        <v>62</v>
      </c>
    </row>
    <row r="38" spans="1:15" x14ac:dyDescent="0.25">
      <c r="A38" s="9"/>
      <c r="B38" s="15" t="s">
        <v>147</v>
      </c>
      <c r="C38" s="9"/>
      <c r="D38" s="9"/>
      <c r="E38" s="15" t="s">
        <v>45</v>
      </c>
      <c r="F38" s="9"/>
      <c r="G38" s="15" t="s">
        <v>111</v>
      </c>
      <c r="H38" s="9"/>
      <c r="I38" s="7"/>
      <c r="J38" s="9"/>
      <c r="K38" s="15"/>
      <c r="L38" s="25" t="s">
        <v>62</v>
      </c>
      <c r="M38" s="25" t="s">
        <v>62</v>
      </c>
      <c r="N38" s="25" t="s">
        <v>62</v>
      </c>
      <c r="O38" s="25" t="s">
        <v>62</v>
      </c>
    </row>
    <row r="39" spans="1:15" x14ac:dyDescent="0.25">
      <c r="A39" s="9"/>
      <c r="B39" s="15" t="s">
        <v>138</v>
      </c>
      <c r="C39" s="9"/>
      <c r="D39" s="9"/>
      <c r="E39" s="15" t="s">
        <v>90</v>
      </c>
      <c r="F39" s="9"/>
      <c r="G39" s="15" t="s">
        <v>145</v>
      </c>
      <c r="H39" s="9"/>
      <c r="I39" s="6"/>
      <c r="J39" s="9"/>
      <c r="K39" s="25" t="s">
        <v>62</v>
      </c>
      <c r="L39" s="25" t="s">
        <v>62</v>
      </c>
      <c r="M39" s="25" t="s">
        <v>62</v>
      </c>
      <c r="N39" s="25" t="s">
        <v>62</v>
      </c>
      <c r="O39" s="25" t="s">
        <v>62</v>
      </c>
    </row>
    <row r="40" spans="1:15" x14ac:dyDescent="0.25">
      <c r="A40" s="9"/>
      <c r="B40" s="15" t="s">
        <v>139</v>
      </c>
      <c r="C40" s="7"/>
      <c r="D40" s="9"/>
      <c r="E40" s="15" t="s">
        <v>46</v>
      </c>
      <c r="F40" s="9"/>
      <c r="G40" s="15" t="s">
        <v>112</v>
      </c>
      <c r="H40" s="7"/>
      <c r="I40" s="7"/>
      <c r="J40" s="5"/>
      <c r="K40" s="32" t="s">
        <v>62</v>
      </c>
      <c r="L40" s="25" t="s">
        <v>62</v>
      </c>
      <c r="M40" s="25" t="s">
        <v>62</v>
      </c>
      <c r="N40" s="25" t="s">
        <v>62</v>
      </c>
      <c r="O40" s="25" t="s">
        <v>62</v>
      </c>
    </row>
    <row r="41" spans="1:15" ht="15.75" x14ac:dyDescent="0.25">
      <c r="A41" s="7"/>
      <c r="B41" s="6"/>
      <c r="C41" s="6"/>
      <c r="D41" s="5"/>
      <c r="E41" s="15" t="s">
        <v>81</v>
      </c>
      <c r="F41" s="9"/>
      <c r="G41" s="15" t="s">
        <v>113</v>
      </c>
      <c r="H41" s="9"/>
      <c r="I41" s="7"/>
      <c r="J41" s="9"/>
      <c r="K41" s="175"/>
      <c r="L41" s="25" t="s">
        <v>62</v>
      </c>
      <c r="M41" s="25" t="s">
        <v>62</v>
      </c>
      <c r="N41" s="25" t="s">
        <v>62</v>
      </c>
      <c r="O41" s="25" t="s">
        <v>62</v>
      </c>
    </row>
    <row r="42" spans="1:15" ht="15.75" x14ac:dyDescent="0.25">
      <c r="A42" s="7"/>
      <c r="B42" s="1" t="s">
        <v>171</v>
      </c>
      <c r="C42" s="7"/>
      <c r="D42" s="9"/>
      <c r="E42" s="15" t="s">
        <v>91</v>
      </c>
      <c r="F42" s="9"/>
      <c r="G42" s="15" t="s">
        <v>114</v>
      </c>
      <c r="H42" s="9"/>
      <c r="I42" s="8"/>
      <c r="J42" s="9"/>
      <c r="K42" s="177"/>
      <c r="L42" s="25" t="s">
        <v>62</v>
      </c>
      <c r="M42" s="25" t="s">
        <v>62</v>
      </c>
      <c r="N42" s="25" t="s">
        <v>62</v>
      </c>
      <c r="O42" s="25" t="s">
        <v>62</v>
      </c>
    </row>
    <row r="43" spans="1:15" ht="15.75" x14ac:dyDescent="0.25">
      <c r="A43" s="7"/>
      <c r="B43" s="15" t="s">
        <v>162</v>
      </c>
      <c r="C43" s="7"/>
      <c r="D43" s="13"/>
      <c r="E43" s="15" t="s">
        <v>47</v>
      </c>
      <c r="F43" s="9"/>
      <c r="G43" s="15" t="s">
        <v>115</v>
      </c>
      <c r="H43" s="7"/>
      <c r="I43" s="4"/>
      <c r="K43" s="177"/>
      <c r="L43" s="25" t="s">
        <v>62</v>
      </c>
      <c r="M43" s="25" t="s">
        <v>62</v>
      </c>
      <c r="N43" s="25" t="s">
        <v>62</v>
      </c>
      <c r="O43" s="25" t="s">
        <v>62</v>
      </c>
    </row>
    <row r="44" spans="1:15" ht="15.75" x14ac:dyDescent="0.25">
      <c r="A44" s="7"/>
      <c r="B44" s="15" t="s">
        <v>163</v>
      </c>
      <c r="C44" s="7"/>
      <c r="D44" s="9"/>
      <c r="E44" s="15" t="s">
        <v>82</v>
      </c>
      <c r="F44" s="9"/>
      <c r="G44" s="15" t="s">
        <v>116</v>
      </c>
      <c r="H44" s="7"/>
      <c r="I44" s="7"/>
      <c r="J44" s="9"/>
      <c r="K44" s="177"/>
      <c r="L44" s="25" t="s">
        <v>62</v>
      </c>
      <c r="M44" s="25" t="s">
        <v>62</v>
      </c>
      <c r="N44" s="25" t="s">
        <v>62</v>
      </c>
      <c r="O44" s="25" t="s">
        <v>62</v>
      </c>
    </row>
    <row r="45" spans="1:15" x14ac:dyDescent="0.25">
      <c r="A45" s="7"/>
      <c r="B45" s="15" t="s">
        <v>164</v>
      </c>
      <c r="C45" s="7"/>
      <c r="D45" s="9"/>
      <c r="E45" s="15" t="s">
        <v>48</v>
      </c>
      <c r="F45" s="9"/>
      <c r="G45" s="15" t="s">
        <v>117</v>
      </c>
      <c r="H45" s="7"/>
      <c r="I45" s="7"/>
      <c r="J45" s="9"/>
      <c r="K45" s="33" t="s">
        <v>62</v>
      </c>
      <c r="L45" s="25" t="s">
        <v>62</v>
      </c>
      <c r="M45" s="25" t="s">
        <v>62</v>
      </c>
      <c r="N45" s="25" t="s">
        <v>62</v>
      </c>
      <c r="O45" s="25" t="s">
        <v>62</v>
      </c>
    </row>
    <row r="46" spans="1:15" x14ac:dyDescent="0.25">
      <c r="A46" s="6"/>
      <c r="B46" s="15" t="s">
        <v>165</v>
      </c>
      <c r="C46" s="6"/>
      <c r="D46" s="5"/>
      <c r="E46" s="15" t="s">
        <v>83</v>
      </c>
      <c r="F46" s="7"/>
      <c r="G46" s="15" t="s">
        <v>118</v>
      </c>
      <c r="H46" s="4"/>
      <c r="I46" s="6"/>
      <c r="J46" s="9"/>
      <c r="K46" s="25" t="s">
        <v>62</v>
      </c>
      <c r="L46" s="25" t="s">
        <v>62</v>
      </c>
      <c r="M46" s="25" t="s">
        <v>62</v>
      </c>
      <c r="N46" s="25" t="s">
        <v>62</v>
      </c>
      <c r="O46" s="25" t="s">
        <v>62</v>
      </c>
    </row>
    <row r="47" spans="1:15" x14ac:dyDescent="0.25">
      <c r="A47" s="6"/>
      <c r="B47" s="15" t="s">
        <v>166</v>
      </c>
      <c r="C47" s="6"/>
      <c r="D47" s="5"/>
      <c r="E47" s="15" t="s">
        <v>49</v>
      </c>
      <c r="F47" s="6"/>
      <c r="G47" s="15" t="s">
        <v>146</v>
      </c>
      <c r="H47" s="12"/>
      <c r="I47" s="35"/>
      <c r="J47" s="5"/>
      <c r="K47" s="25" t="s">
        <v>62</v>
      </c>
      <c r="L47" s="25" t="s">
        <v>62</v>
      </c>
      <c r="M47" s="25" t="s">
        <v>62</v>
      </c>
      <c r="N47" s="25" t="s">
        <v>62</v>
      </c>
      <c r="O47" s="25" t="s">
        <v>62</v>
      </c>
    </row>
    <row r="48" spans="1:15" x14ac:dyDescent="0.25">
      <c r="A48" s="6"/>
      <c r="B48" s="15" t="s">
        <v>167</v>
      </c>
      <c r="C48" s="35"/>
      <c r="D48" s="36"/>
      <c r="E48" s="15" t="s">
        <v>50</v>
      </c>
      <c r="F48" s="35"/>
      <c r="G48" s="15" t="s">
        <v>119</v>
      </c>
      <c r="H48" s="37"/>
      <c r="I48" s="8"/>
      <c r="J48" s="38"/>
      <c r="K48" s="37"/>
      <c r="L48" s="39"/>
      <c r="M48" s="39"/>
      <c r="N48" s="26"/>
      <c r="O48" s="26"/>
    </row>
    <row r="49" spans="1:15" x14ac:dyDescent="0.25">
      <c r="A49" s="6"/>
      <c r="B49" s="15" t="s">
        <v>168</v>
      </c>
      <c r="C49" s="12"/>
      <c r="D49" s="5"/>
      <c r="E49" s="15" t="s">
        <v>51</v>
      </c>
      <c r="F49" s="6"/>
      <c r="G49" s="15" t="s">
        <v>120</v>
      </c>
      <c r="H49" s="8"/>
      <c r="I49" s="7"/>
      <c r="K49" s="25" t="s">
        <v>62</v>
      </c>
      <c r="L49" s="25" t="s">
        <v>62</v>
      </c>
      <c r="M49" s="25" t="s">
        <v>62</v>
      </c>
      <c r="N49" s="25" t="s">
        <v>62</v>
      </c>
      <c r="O49" s="25" t="s">
        <v>62</v>
      </c>
    </row>
    <row r="50" spans="1:15" x14ac:dyDescent="0.25">
      <c r="A50" s="7"/>
      <c r="B50" s="15" t="s">
        <v>169</v>
      </c>
      <c r="C50" s="7"/>
      <c r="D50" s="9"/>
      <c r="E50" s="15" t="s">
        <v>84</v>
      </c>
      <c r="F50" s="6"/>
      <c r="G50" s="15" t="s">
        <v>121</v>
      </c>
      <c r="H50" s="4"/>
      <c r="I50" s="8"/>
      <c r="J50" s="9"/>
      <c r="K50" s="34" t="s">
        <v>62</v>
      </c>
      <c r="L50" s="25" t="s">
        <v>62</v>
      </c>
      <c r="M50" s="25" t="s">
        <v>62</v>
      </c>
      <c r="N50" s="25" t="s">
        <v>62</v>
      </c>
      <c r="O50" s="25" t="s">
        <v>62</v>
      </c>
    </row>
    <row r="51" spans="1:15" x14ac:dyDescent="0.25">
      <c r="A51" s="16"/>
      <c r="B51" s="15" t="s">
        <v>170</v>
      </c>
      <c r="C51" s="17"/>
      <c r="D51" s="17"/>
      <c r="E51" s="39"/>
      <c r="F51" s="17"/>
      <c r="G51" s="15" t="s">
        <v>122</v>
      </c>
      <c r="H51" s="17"/>
      <c r="I51" s="8"/>
      <c r="K51" s="25" t="s">
        <v>62</v>
      </c>
      <c r="L51" s="25" t="s">
        <v>62</v>
      </c>
      <c r="M51" s="25" t="s">
        <v>62</v>
      </c>
      <c r="N51" s="25" t="s">
        <v>62</v>
      </c>
      <c r="O51" s="25" t="s">
        <v>62</v>
      </c>
    </row>
    <row r="52" spans="1:15" x14ac:dyDescent="0.25">
      <c r="B52" s="15" t="s">
        <v>97</v>
      </c>
      <c r="E52" s="27"/>
      <c r="G52" s="15" t="s">
        <v>123</v>
      </c>
      <c r="K52" s="25" t="s">
        <v>62</v>
      </c>
    </row>
    <row r="53" spans="1:15" ht="15.75" thickBot="1" x14ac:dyDescent="0.3">
      <c r="E53" s="26"/>
      <c r="G53" s="15" t="s">
        <v>124</v>
      </c>
      <c r="K53" s="25" t="s">
        <v>62</v>
      </c>
    </row>
    <row r="54" spans="1:15" x14ac:dyDescent="0.25">
      <c r="B54" s="351" t="s">
        <v>334</v>
      </c>
      <c r="E54" s="351" t="s">
        <v>344</v>
      </c>
      <c r="G54" s="15" t="s">
        <v>125</v>
      </c>
      <c r="K54" s="25" t="s">
        <v>62</v>
      </c>
    </row>
    <row r="55" spans="1:15" x14ac:dyDescent="0.25">
      <c r="B55" s="352" t="s">
        <v>336</v>
      </c>
      <c r="E55" s="354" t="s">
        <v>345</v>
      </c>
      <c r="G55" s="15" t="s">
        <v>126</v>
      </c>
      <c r="K55" s="25" t="s">
        <v>62</v>
      </c>
    </row>
    <row r="56" spans="1:15" x14ac:dyDescent="0.25">
      <c r="B56" s="352" t="s">
        <v>337</v>
      </c>
      <c r="E56" s="354" t="s">
        <v>346</v>
      </c>
      <c r="G56" s="15" t="s">
        <v>127</v>
      </c>
    </row>
    <row r="57" spans="1:15" ht="15.75" thickBot="1" x14ac:dyDescent="0.3">
      <c r="B57" s="353" t="s">
        <v>335</v>
      </c>
      <c r="E57" s="353" t="s">
        <v>347</v>
      </c>
      <c r="G57" s="15" t="s">
        <v>97</v>
      </c>
    </row>
    <row r="58" spans="1:15" ht="15.75" thickBot="1" x14ac:dyDescent="0.3">
      <c r="G58" s="10"/>
    </row>
    <row r="59" spans="1:15" x14ac:dyDescent="0.25">
      <c r="B59" s="351" t="s">
        <v>338</v>
      </c>
      <c r="C59" s="351" t="s">
        <v>343</v>
      </c>
      <c r="E59" s="351" t="s">
        <v>348</v>
      </c>
      <c r="G59" s="351" t="s">
        <v>354</v>
      </c>
      <c r="I59" s="351" t="s">
        <v>357</v>
      </c>
      <c r="K59" s="351" t="s">
        <v>361</v>
      </c>
    </row>
    <row r="60" spans="1:15" x14ac:dyDescent="0.25">
      <c r="B60" s="354" t="s">
        <v>339</v>
      </c>
      <c r="C60" s="354" t="s">
        <v>342</v>
      </c>
      <c r="E60" s="354" t="s">
        <v>349</v>
      </c>
      <c r="G60" s="354" t="s">
        <v>355</v>
      </c>
      <c r="I60" s="354" t="s">
        <v>358</v>
      </c>
      <c r="K60" s="354" t="s">
        <v>362</v>
      </c>
    </row>
    <row r="61" spans="1:15" x14ac:dyDescent="0.25">
      <c r="B61" s="354" t="s">
        <v>340</v>
      </c>
      <c r="C61" s="354" t="s">
        <v>340</v>
      </c>
      <c r="E61" s="354" t="s">
        <v>350</v>
      </c>
      <c r="G61" s="355" t="s">
        <v>356</v>
      </c>
      <c r="I61" s="355" t="s">
        <v>359</v>
      </c>
      <c r="K61" s="355" t="s">
        <v>364</v>
      </c>
    </row>
    <row r="62" spans="1:15" ht="15.75" thickBot="1" x14ac:dyDescent="0.3">
      <c r="B62" s="353" t="s">
        <v>341</v>
      </c>
      <c r="C62" s="353" t="s">
        <v>341</v>
      </c>
      <c r="E62" s="353" t="s">
        <v>351</v>
      </c>
      <c r="G62" s="356" t="s">
        <v>351</v>
      </c>
      <c r="I62" s="356" t="s">
        <v>360</v>
      </c>
      <c r="K62" s="356" t="s">
        <v>363</v>
      </c>
    </row>
    <row r="63" spans="1:15" ht="15.75" thickBot="1" x14ac:dyDescent="0.3">
      <c r="G63" s="10"/>
    </row>
    <row r="64" spans="1:15" x14ac:dyDescent="0.25">
      <c r="B64" s="351" t="s">
        <v>365</v>
      </c>
      <c r="E64" s="351" t="s">
        <v>367</v>
      </c>
      <c r="G64" s="351" t="s">
        <v>368</v>
      </c>
    </row>
    <row r="65" spans="2:9" x14ac:dyDescent="0.25">
      <c r="B65" s="354">
        <v>1</v>
      </c>
      <c r="E65" s="354" t="s">
        <v>342</v>
      </c>
      <c r="G65" s="354" t="s">
        <v>358</v>
      </c>
    </row>
    <row r="66" spans="2:9" x14ac:dyDescent="0.25">
      <c r="B66" s="355" t="s">
        <v>366</v>
      </c>
      <c r="E66" s="355" t="s">
        <v>340</v>
      </c>
      <c r="G66" s="355" t="s">
        <v>359</v>
      </c>
    </row>
    <row r="67" spans="2:9" ht="15.75" thickBot="1" x14ac:dyDescent="0.3">
      <c r="B67" s="356" t="s">
        <v>335</v>
      </c>
      <c r="E67" s="356" t="s">
        <v>341</v>
      </c>
      <c r="G67" s="356" t="s">
        <v>360</v>
      </c>
    </row>
    <row r="68" spans="2:9" ht="15.75" thickBot="1" x14ac:dyDescent="0.3"/>
    <row r="69" spans="2:9" ht="16.5" thickBot="1" x14ac:dyDescent="0.3">
      <c r="B69" s="369"/>
      <c r="C69" s="370"/>
      <c r="D69" s="552" t="s">
        <v>369</v>
      </c>
      <c r="E69" s="553"/>
      <c r="F69" s="554"/>
    </row>
    <row r="70" spans="2:9" ht="16.5" thickBot="1" x14ac:dyDescent="0.3">
      <c r="B70" s="371"/>
      <c r="C70" s="372"/>
      <c r="E70" s="319" t="s">
        <v>362</v>
      </c>
      <c r="G70" s="373" t="s">
        <v>364</v>
      </c>
      <c r="I70" s="373" t="s">
        <v>363</v>
      </c>
    </row>
    <row r="71" spans="2:9" ht="16.5" thickBot="1" x14ac:dyDescent="0.3">
      <c r="B71" s="555" t="s">
        <v>370</v>
      </c>
      <c r="C71" s="373">
        <v>1</v>
      </c>
      <c r="E71" s="377" t="s">
        <v>250</v>
      </c>
      <c r="G71" s="377" t="s">
        <v>250</v>
      </c>
      <c r="I71" s="377" t="s">
        <v>251</v>
      </c>
    </row>
    <row r="72" spans="2:9" ht="16.5" thickBot="1" x14ac:dyDescent="0.3">
      <c r="B72" s="556"/>
      <c r="C72" s="375" t="s">
        <v>366</v>
      </c>
      <c r="E72" s="377" t="s">
        <v>250</v>
      </c>
      <c r="G72" s="377" t="s">
        <v>251</v>
      </c>
      <c r="I72" s="377" t="s">
        <v>252</v>
      </c>
    </row>
    <row r="73" spans="2:9" ht="16.5" thickBot="1" x14ac:dyDescent="0.3">
      <c r="B73" s="557"/>
      <c r="C73" s="376" t="s">
        <v>335</v>
      </c>
      <c r="E73" s="377" t="s">
        <v>251</v>
      </c>
      <c r="G73" s="377" t="s">
        <v>252</v>
      </c>
      <c r="I73" s="377" t="s">
        <v>252</v>
      </c>
    </row>
    <row r="75" spans="2:9" ht="16.5" thickBot="1" x14ac:dyDescent="0.3">
      <c r="B75" t="str">
        <f>C71&amp;E70</f>
        <v>11 to 19</v>
      </c>
      <c r="C75" s="374" t="s">
        <v>250</v>
      </c>
    </row>
    <row r="76" spans="2:9" ht="16.5" thickBot="1" x14ac:dyDescent="0.3">
      <c r="B76" t="str">
        <f>C72&amp;E70</f>
        <v>2 to 51 to 19</v>
      </c>
      <c r="C76" s="374" t="s">
        <v>250</v>
      </c>
    </row>
    <row r="77" spans="2:9" x14ac:dyDescent="0.25">
      <c r="B77" t="str">
        <f>C73&amp;E70</f>
        <v>6+1 to 19</v>
      </c>
      <c r="C77" t="str">
        <f>E73</f>
        <v>Average</v>
      </c>
    </row>
    <row r="78" spans="2:9" x14ac:dyDescent="0.25">
      <c r="B78" t="str">
        <f>C71&amp;G70</f>
        <v>120 to 50</v>
      </c>
      <c r="C78" t="str">
        <f>G71</f>
        <v>Low</v>
      </c>
    </row>
    <row r="79" spans="2:9" x14ac:dyDescent="0.25">
      <c r="B79" t="str">
        <f>C72&amp;G70</f>
        <v>2 to 520 to 50</v>
      </c>
      <c r="C79" t="str">
        <f>G72</f>
        <v>Average</v>
      </c>
    </row>
    <row r="80" spans="2:9" x14ac:dyDescent="0.25">
      <c r="B80" t="str">
        <f>C73&amp;G70</f>
        <v>6+20 to 50</v>
      </c>
      <c r="C80" t="str">
        <f>G73</f>
        <v>High</v>
      </c>
    </row>
    <row r="81" spans="2:3" x14ac:dyDescent="0.25">
      <c r="B81" t="str">
        <f>C71&amp;I70</f>
        <v>151+</v>
      </c>
      <c r="C81" t="str">
        <f>I71</f>
        <v>Average</v>
      </c>
    </row>
    <row r="82" spans="2:3" x14ac:dyDescent="0.25">
      <c r="B82" t="str">
        <f>C72&amp;I70</f>
        <v>2 to 551+</v>
      </c>
      <c r="C82" t="str">
        <f>I72</f>
        <v>High</v>
      </c>
    </row>
    <row r="83" spans="2:3" x14ac:dyDescent="0.25">
      <c r="B83" t="str">
        <f>C73&amp;I70</f>
        <v>6+51+</v>
      </c>
      <c r="C83" t="str">
        <f>I73</f>
        <v>High</v>
      </c>
    </row>
    <row r="100" spans="2:2" x14ac:dyDescent="0.25">
      <c r="B100" t="s">
        <v>263</v>
      </c>
    </row>
  </sheetData>
  <sheetProtection password="AB5E" sheet="1"/>
  <protectedRanges>
    <protectedRange password="AB5E" sqref="E70" name="Range19"/>
  </protectedRanges>
  <mergeCells count="2">
    <mergeCell ref="D69:F69"/>
    <mergeCell ref="B71:B73"/>
  </mergeCells>
  <dataValidations disablePrompts="1" count="1">
    <dataValidation type="list" operator="greaterThanOrEqual" allowBlank="1" showInputMessage="1" showErrorMessage="1" error="only whole postive numbers are accepted" sqref="E70" xr:uid="{00000000-0002-0000-0400-000000000000}">
      <formula1>DETs_3.2</formula1>
    </dataValidation>
  </dataValidations>
  <pageMargins left="0.7" right="0.7" top="0.75" bottom="0.75" header="0.3" footer="0.3"/>
  <pageSetup paperSize="9" orientation="portrait" r:id="rId1"/>
  <headerFooter>
    <oddFooter>&amp;LLevel 1 – Confidential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30</vt:i4>
      </vt:variant>
    </vt:vector>
  </HeadingPairs>
  <TitlesOfParts>
    <vt:vector size="35" baseType="lpstr">
      <vt:lpstr>Basic Instructions</vt:lpstr>
      <vt:lpstr>Application Information</vt:lpstr>
      <vt:lpstr>SNAP Counting Sheet</vt:lpstr>
      <vt:lpstr>Recap</vt:lpstr>
      <vt:lpstr>Parameters</vt:lpstr>
      <vt:lpstr>Architecture</vt:lpstr>
      <vt:lpstr>Comments</vt:lpstr>
      <vt:lpstr>Counter</vt:lpstr>
      <vt:lpstr>D_Formatting</vt:lpstr>
      <vt:lpstr>Data_Replication</vt:lpstr>
      <vt:lpstr>DATABASE_TECH</vt:lpstr>
      <vt:lpstr>DETs_2.3</vt:lpstr>
      <vt:lpstr>DETs_2.4</vt:lpstr>
      <vt:lpstr>DETs_3.2</vt:lpstr>
      <vt:lpstr>DETs_4.2</vt:lpstr>
      <vt:lpstr>Effort</vt:lpstr>
      <vt:lpstr>Effort_Recording</vt:lpstr>
      <vt:lpstr>Effort_type</vt:lpstr>
      <vt:lpstr>FTR_1.4</vt:lpstr>
      <vt:lpstr>FTR_Validation</vt:lpstr>
      <vt:lpstr>FTRs_3.3</vt:lpstr>
      <vt:lpstr>Help_Type</vt:lpstr>
      <vt:lpstr>Industry</vt:lpstr>
      <vt:lpstr>Math_log</vt:lpstr>
      <vt:lpstr>Nesting</vt:lpstr>
      <vt:lpstr>Platforms</vt:lpstr>
      <vt:lpstr>Primary_Technology</vt:lpstr>
      <vt:lpstr>Project_Type</vt:lpstr>
      <vt:lpstr>Properties_2.1</vt:lpstr>
      <vt:lpstr>Quality</vt:lpstr>
      <vt:lpstr>Records_1.5</vt:lpstr>
      <vt:lpstr>RETs_3.2</vt:lpstr>
      <vt:lpstr>SNAP_DETAILS</vt:lpstr>
      <vt:lpstr>Software</vt:lpstr>
      <vt:lpstr>Stage</vt:lpstr>
    </vt:vector>
  </TitlesOfParts>
  <Company>IFPUG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SNAP Counting tool</dc:title>
  <dc:creator>Talmon Ben-Cnaan;Charley Tichenor</dc:creator>
  <cp:lastModifiedBy>Jose Claudio Lima de Siqueira - DATAPREVDF</cp:lastModifiedBy>
  <cp:lastPrinted>2012-07-24T17:21:47Z</cp:lastPrinted>
  <dcterms:created xsi:type="dcterms:W3CDTF">2009-12-07T04:17:07Z</dcterms:created>
  <dcterms:modified xsi:type="dcterms:W3CDTF">2019-04-23T13:46:33Z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ecurityLevel">
    <vt:lpwstr>Level 1 – Confidential</vt:lpwstr>
  </property>
  <property fmtid="{D5CDD505-2E9C-101B-9397-08002B2CF9AE}" pid="3" name="Updated">
    <vt:bool>true</vt:bool>
  </property>
</Properties>
</file>